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Как читать" sheetId="1" state="visible" r:id="rId1"/>
    <sheet xmlns:r="http://schemas.openxmlformats.org/officeDocument/2006/relationships" name="Сценарии" sheetId="2" state="visible" r:id="rId2"/>
    <sheet xmlns:r="http://schemas.openxmlformats.org/officeDocument/2006/relationships" name="Курсы" sheetId="3" state="visible" r:id="rId3"/>
    <sheet xmlns:r="http://schemas.openxmlformats.org/officeDocument/2006/relationships" name="Direct merchant" sheetId="4" state="visible" r:id="rId4"/>
    <sheet xmlns:r="http://schemas.openxmlformats.org/officeDocument/2006/relationships" name="Собирают на себя" sheetId="5" state="visible" r:id="rId5"/>
    <sheet xmlns:r="http://schemas.openxmlformats.org/officeDocument/2006/relationships" name="Эквайринг" sheetId="6" state="visible" r:id="rId6"/>
  </sheets>
  <definedNames>
    <definedName name="_xlnm._FilterDatabase" localSheetId="1" hidden="1">'Сценарии'!$A$4:$W$100</definedName>
    <definedName name="_xlnm._FilterDatabase" localSheetId="3" hidden="1">'Direct merchant'!$A$1:$W$66</definedName>
    <definedName name="_xlnm._FilterDatabase" localSheetId="4" hidden="1">'Собирают на себя'!$A$1:$W$177</definedName>
    <definedName name="_xlnm._FilterDatabase" localSheetId="5" hidden="1">'Эквайринг'!$A$1:$P$56</definedName>
  </definedNames>
  <calcPr calcId="124519" fullCalcOnLoad="1"/>
</workbook>
</file>

<file path=xl/styles.xml><?xml version="1.0" encoding="utf-8"?>
<styleSheet xmlns="http://schemas.openxmlformats.org/spreadsheetml/2006/main">
  <numFmts count="4">
    <numFmt numFmtId="164" formatCode="0.0000"/>
    <numFmt numFmtId="165" formatCode="&quot;€&quot;0"/>
    <numFmt numFmtId="166" formatCode="&quot;€&quot;0.00"/>
    <numFmt numFmtId="167" formatCode="0.0%"/>
  </numFmts>
  <fonts count="8">
    <font>
      <name val="Calibri"/>
      <family val="2"/>
      <color theme="1"/>
      <sz val="11"/>
      <scheme val="minor"/>
    </font>
    <font>
      <name val="Arial"/>
      <b val="1"/>
      <sz val="14"/>
    </font>
    <font>
      <name val="Arial"/>
      <b val="1"/>
      <color rgb="00FFFFFF"/>
      <sz val="10"/>
    </font>
    <font>
      <name val="Arial"/>
      <sz val="10"/>
    </font>
    <font>
      <name val="Arial"/>
      <color rgb="000000FF"/>
      <sz val="10"/>
    </font>
    <font>
      <name val="Arial"/>
      <b val="1"/>
      <sz val="10"/>
    </font>
    <font>
      <name val="Arial"/>
      <color rgb="00008000"/>
      <sz val="10"/>
    </font>
    <font>
      <name val="Arial"/>
      <i val="1"/>
      <sz val="9"/>
    </font>
  </fonts>
  <fills count="7">
    <fill>
      <patternFill/>
    </fill>
    <fill>
      <patternFill patternType="gray125"/>
    </fill>
    <fill>
      <patternFill patternType="solid">
        <fgColor rgb="001F3864"/>
      </patternFill>
    </fill>
    <fill>
      <patternFill patternType="solid">
        <fgColor rgb="00FFFF00"/>
      </patternFill>
    </fill>
    <fill>
      <patternFill patternType="solid">
        <fgColor rgb="00FFF2CC"/>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1" fillId="0" borderId="0" pivotButton="0" quotePrefix="0" xfId="0"/>
    <xf numFmtId="0" fontId="5" fillId="0" borderId="0" pivotButton="0" quotePrefix="0" xfId="0"/>
    <xf numFmtId="165" fontId="4" fillId="3" borderId="0" pivotButton="0" quotePrefix="0" xfId="0"/>
    <xf numFmtId="0" fontId="2" fillId="2" borderId="0" applyAlignment="1" pivotButton="0" quotePrefix="0" xfId="0">
      <alignment vertical="top" wrapText="1"/>
    </xf>
    <xf numFmtId="0" fontId="3" fillId="4" borderId="1" applyAlignment="1" pivotButton="0" quotePrefix="0" xfId="0">
      <alignment vertical="top" wrapText="1"/>
    </xf>
    <xf numFmtId="164" fontId="6" fillId="0" borderId="1" applyAlignment="1" pivotButton="0" quotePrefix="0" xfId="0">
      <alignment vertical="top" wrapText="1"/>
    </xf>
    <xf numFmtId="10" fontId="4" fillId="0"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xf numFmtId="166" fontId="3" fillId="0" borderId="1" pivotButton="0" quotePrefix="0" xfId="0"/>
    <xf numFmtId="167" fontId="3" fillId="0" borderId="1" pivotButton="0" quotePrefix="0" xfId="0"/>
    <xf numFmtId="0" fontId="3" fillId="5" borderId="1" applyAlignment="1" pivotButton="0" quotePrefix="0" xfId="0">
      <alignment vertical="top" wrapText="1"/>
    </xf>
    <xf numFmtId="0" fontId="3" fillId="6" borderId="1" applyAlignment="1" pivotButton="0" quotePrefix="0" xfId="0">
      <alignment vertical="top" wrapText="1"/>
    </xf>
    <xf numFmtId="0" fontId="7" fillId="0" borderId="0" pivotButton="0" quotePrefix="0" xfId="0"/>
    <xf numFmtId="0" fontId="2" fillId="2" borderId="0" pivotButton="0" quotePrefix="0" xfId="0"/>
    <xf numFmtId="0" fontId="3" fillId="0" borderId="0" pivotButton="0" quotePrefix="0" xfId="0"/>
    <xf numFmtId="164" fontId="4" fillId="0" borderId="0" pivotButton="0" quotePrefix="0" xfId="0"/>
    <xf numFmtId="0" fontId="5" fillId="5" borderId="0" applyAlignment="1" pivotButton="0" quotePrefix="0" xfId="0">
      <alignment vertical="top" wrapText="1"/>
    </xf>
    <xf numFmtId="0" fontId="5"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40" customWidth="1" min="1" max="1"/>
  </cols>
  <sheetData>
    <row r="1">
      <c r="A1" s="1" t="inlineStr">
        <is>
          <t>Цены билетных платформ: полная раскладка, 09.10.2026</t>
        </is>
      </c>
    </row>
    <row r="2">
      <c r="A2" s="2" t="inlineStr"/>
    </row>
    <row r="3">
      <c r="A3" s="3" t="inlineStr">
        <is>
          <t>Листы</t>
        </is>
      </c>
    </row>
    <row r="4">
      <c r="A4" s="2" t="inlineStr">
        <is>
          <t>Сценарии — сколько стоит продажа одного билета за €10/25/50/100 на ~90 тарифах, включая наши варианты (жёлтые строки). Цены билета можно менять.</t>
        </is>
      </c>
    </row>
    <row r="5">
      <c r="A5" s="2" t="inlineStr">
        <is>
          <t>Direct merchant — 65 записей: деньги покупателя идут прямо на платёжный счёт организатора (как у Arena), плюс платформы, где организатор может выбрать этот режим.</t>
        </is>
      </c>
    </row>
    <row r="6">
      <c r="A6" s="2" t="inlineStr">
        <is>
          <t>Собирают на себя — 176 записей: платформа принимает деньги как продавец и выплачивает организатору позже (или режим не выяснен).</t>
        </is>
      </c>
    </row>
    <row r="7">
      <c r="A7" s="2" t="inlineStr">
        <is>
          <t>Эквайринг — ставки платёжных провайдеров по странам (Stripe, PayPal, Mollie, Flitt, AllPay, местные), чтобы сравнивать полную стоимость.</t>
        </is>
      </c>
    </row>
    <row r="8">
      <c r="A8" s="2" t="inlineStr">
        <is>
          <t>Курсы — курсы на 09.10.2026, по ним считаются сценарии.</t>
        </is>
      </c>
    </row>
    <row r="9">
      <c r="A9" s="2" t="inlineStr"/>
    </row>
    <row r="10">
      <c r="A10" s="3" t="inlineStr">
        <is>
          <t>Как собрано</t>
        </is>
      </c>
    </row>
    <row r="11">
      <c r="A11" s="2" t="inlineStr">
        <is>
          <t>Открытые страницы цен, справочные статьи о сборах, оферты и условия для организаторов; Bright Data + WebFetch; 9 групп по регионам. У каждой цифры есть ссылка (последний столбец).</t>
        </is>
      </c>
    </row>
    <row r="12">
      <c r="A12" s="2" t="inlineStr">
        <is>
          <t>Уверенность: page — прочитано на странице платформы; snippet — только из выдачи поиска; third_party — из сторонней статьи/обзора. «По запросу» значит, что цена не опубликована — цифр не придумывали.</t>
        </is>
      </c>
    </row>
    <row r="13">
      <c r="A13" s="2" t="inlineStr">
        <is>
          <t>Ничего не запрашивали у продаж, не регистрировались, форм не заполняли.</t>
        </is>
      </c>
    </row>
    <row r="14">
      <c r="A14" s="2" t="inlineStr"/>
    </row>
    <row r="15">
      <c r="A15" s="3" t="inlineStr">
        <is>
          <t>Ограничения</t>
        </is>
      </c>
    </row>
    <row r="16">
      <c r="A16" s="2" t="inlineStr">
        <is>
          <t>Сырые данные собраны моделями-помощниками и выборочно проверены; перед публикацией сравнения на сайте каждую цифру конкурента перепроверить по ссылке.</t>
        </is>
      </c>
    </row>
    <row r="17">
      <c r="A17" s="2" t="inlineStr">
        <is>
          <t>Сценарий не учитывает абонентскую плату, НДС на сбор, сборы с заказа и сборы с покупателя сверх указанных — они в столбце «Примечание».</t>
        </is>
      </c>
    </row>
    <row r="18">
      <c r="A18" s="2" t="inlineStr">
        <is>
          <t>Страница Eventbrite определяет страну по IP; для Eventbrite взяты таблицы справочного центра.</t>
        </is>
      </c>
    </row>
    <row r="19">
      <c r="A19" s="2" t="inlineStr"/>
    </row>
    <row r="20">
      <c r="A20" s="3" t="inlineStr">
        <is>
          <t>Отчёт с выводами: docs/competitive/pricing_2026-10/report_ru.md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0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6" customWidth="1" min="3" max="3"/>
    <col width="30" customWidth="1" min="4" max="4"/>
    <col width="7" customWidth="1" min="5" max="5"/>
    <col width="9" customWidth="1" min="6" max="6"/>
    <col width="8" customWidth="1" min="7" max="7"/>
    <col width="9" customWidth="1" min="8" max="8"/>
    <col width="8" customWidth="1" min="9" max="9"/>
    <col width="8" customWidth="1" min="10" max="10"/>
    <col width="9" customWidth="1" min="11" max="11"/>
    <col width="9" customWidth="1" min="12" max="12"/>
    <col width="9" customWidth="1" min="13" max="13"/>
    <col width="22" customWidth="1" min="14" max="14"/>
    <col width="46"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s>
  <sheetData>
    <row r="1">
      <c r="A1" s="4" t="inlineStr">
        <is>
          <t>Сколько стоит продать один билет: сбор платформы + эквайринг, в евро</t>
        </is>
      </c>
    </row>
    <row r="2" ht="45" customHeight="1">
      <c r="A2" s="2" t="inlineStr">
        <is>
          <t>Жёлтые ячейки P3:S3 — цена билета в евро, можно менять. Ставки (синие) взяты из сырых данных с источниками (листы Direct merchant / Собирают на себя). Эквайринг: если не включён в сбор платформы — стандартная ставка Stripe (или местного провайдера) для внутренних карт этого рынка. Абонентская плата, НДС на сбор и сборы с заказа в сценарий НЕ входят — смотрите «Примечание».</t>
        </is>
      </c>
    </row>
    <row r="3">
      <c r="O3" s="5" t="inlineStr">
        <is>
          <t>Цена билета, € →</t>
        </is>
      </c>
      <c r="P3" s="6" t="n">
        <v>10</v>
      </c>
      <c r="Q3" s="6" t="n">
        <v>25</v>
      </c>
      <c r="R3" s="6" t="n">
        <v>50</v>
      </c>
      <c r="S3" s="6" t="n">
        <v>100</v>
      </c>
    </row>
    <row r="4">
      <c r="A4" s="7" t="inlineStr">
        <is>
          <t>Модель</t>
        </is>
      </c>
      <c r="B4" s="7" t="inlineStr">
        <is>
          <t>Платформа</t>
        </is>
      </c>
      <c r="C4" s="7" t="inlineStr">
        <is>
          <t>Рынок</t>
        </is>
      </c>
      <c r="D4" s="7" t="inlineStr">
        <is>
          <t>Тариф / вариант</t>
        </is>
      </c>
      <c r="E4" s="7" t="inlineStr">
        <is>
          <t>Валюта</t>
        </is>
      </c>
      <c r="F4" s="7" t="inlineStr">
        <is>
          <t>Курс за 1 EUR</t>
        </is>
      </c>
      <c r="G4" s="7" t="inlineStr">
        <is>
          <t>Сбор, %</t>
        </is>
      </c>
      <c r="H4" s="7" t="inlineStr">
        <is>
          <t>Сбор, фикс. (валюта)</t>
        </is>
      </c>
      <c r="I4" s="7" t="inlineStr">
        <is>
          <t>Минимум</t>
        </is>
      </c>
      <c r="J4" s="7" t="inlineStr">
        <is>
          <t>Потолок</t>
        </is>
      </c>
      <c r="K4" s="7" t="inlineStr">
        <is>
          <t>Эквайринг включён</t>
        </is>
      </c>
      <c r="L4" s="7" t="inlineStr">
        <is>
          <t>Эквайринг, %</t>
        </is>
      </c>
      <c r="M4" s="7" t="inlineStr">
        <is>
          <t>Эквайринг, фикс.</t>
        </is>
      </c>
      <c r="N4" s="7" t="inlineStr">
        <is>
          <t>Кто платит по умолчанию</t>
        </is>
      </c>
      <c r="O4" s="7" t="inlineStr">
        <is>
          <t>Примечание / уверенность</t>
        </is>
      </c>
      <c r="P4" s="7" t="inlineStr">
        <is>
          <t>Всего €, билет €10</t>
        </is>
      </c>
      <c r="Q4" s="7" t="inlineStr">
        <is>
          <t>Всего €, билет €25</t>
        </is>
      </c>
      <c r="R4" s="7" t="inlineStr">
        <is>
          <t>Всего €, билет €50</t>
        </is>
      </c>
      <c r="S4" s="7" t="inlineStr">
        <is>
          <t>Всего €, билет €100</t>
        </is>
      </c>
      <c r="T4" s="7" t="inlineStr">
        <is>
          <t>% от цены, билет €10</t>
        </is>
      </c>
      <c r="U4" s="7" t="inlineStr">
        <is>
          <t>% от цены, билет €25</t>
        </is>
      </c>
      <c r="V4" s="7" t="inlineStr">
        <is>
          <t>% от цены, билет €50</t>
        </is>
      </c>
      <c r="W4" s="7" t="inlineStr">
        <is>
          <t>% от цены, билет €100</t>
        </is>
      </c>
    </row>
    <row r="5">
      <c r="A5" s="8" t="inlineStr">
        <is>
          <t>Direct merchant</t>
        </is>
      </c>
      <c r="B5" s="8" t="inlineStr">
        <is>
          <t>Arena Sold Out</t>
        </is>
      </c>
      <c r="C5" s="8" t="inlineStr">
        <is>
          <t>EU</t>
        </is>
      </c>
      <c r="D5" s="8" t="inlineStr">
        <is>
          <t>Вариант А: старый сайт, без мест</t>
        </is>
      </c>
      <c r="E5" s="8" t="inlineStr">
        <is>
          <t>EUR</t>
        </is>
      </c>
      <c r="F5" s="9">
        <f>INDEX('Курсы'!$B$4:$B$46,MATCH($E5,'Курсы'!$A$4:$A$46,0))</f>
        <v/>
      </c>
      <c r="G5" s="10" t="n">
        <v>0</v>
      </c>
      <c r="H5" s="11" t="n">
        <v>0.5</v>
      </c>
      <c r="I5" s="11" t="n"/>
      <c r="J5" s="11" t="n"/>
      <c r="K5" s="12" t="inlineStr">
        <is>
          <t>нет</t>
        </is>
      </c>
      <c r="L5" s="10" t="n">
        <v>0.015</v>
      </c>
      <c r="M5" s="11" t="n">
        <v>0.25</v>
      </c>
      <c r="N5" s="12" t="inlineStr">
        <is>
          <t>организатор (счёт после сеанса)</t>
        </is>
      </c>
      <c r="O5" s="12" t="inlineStr">
        <is>
          <t>Тариф старого сайта, 08_architecture/33 §4.4</t>
        </is>
      </c>
      <c r="P5" s="13">
        <f>(MIN(IF($J5="",1E+9,$J5),MAX(IF($I5="",0,$I5),$G5*P$3*$F5+$H5))+IF($K5="да",0,$L5*P$3*$F5+$M5))/$F5</f>
        <v/>
      </c>
      <c r="Q5" s="13">
        <f>(MIN(IF($J5="",1E+9,$J5),MAX(IF($I5="",0,$I5),$G5*Q$3*$F5+$H5))+IF($K5="да",0,$L5*Q$3*$F5+$M5))/$F5</f>
        <v/>
      </c>
      <c r="R5" s="13">
        <f>(MIN(IF($J5="",1E+9,$J5),MAX(IF($I5="",0,$I5),$G5*R$3*$F5+$H5))+IF($K5="да",0,$L5*R$3*$F5+$M5))/$F5</f>
        <v/>
      </c>
      <c r="S5" s="13">
        <f>(MIN(IF($J5="",1E+9,$J5),MAX(IF($I5="",0,$I5),$G5*S$3*$F5+$H5))+IF($K5="да",0,$L5*S$3*$F5+$M5))/$F5</f>
        <v/>
      </c>
      <c r="T5" s="14">
        <f>P5/P$3</f>
        <v/>
      </c>
      <c r="U5" s="14">
        <f>Q5/Q$3</f>
        <v/>
      </c>
      <c r="V5" s="14">
        <f>R5/R$3</f>
        <v/>
      </c>
      <c r="W5" s="14">
        <f>S5/S$3</f>
        <v/>
      </c>
    </row>
    <row r="6">
      <c r="A6" s="8" t="inlineStr">
        <is>
          <t>Direct merchant</t>
        </is>
      </c>
      <c r="B6" s="8" t="inlineStr">
        <is>
          <t>Arena Sold Out</t>
        </is>
      </c>
      <c r="C6" s="8" t="inlineStr">
        <is>
          <t>EU</t>
        </is>
      </c>
      <c r="D6" s="8" t="inlineStr">
        <is>
          <t>Вариант А: старый сайт, с планом зала</t>
        </is>
      </c>
      <c r="E6" s="8" t="inlineStr">
        <is>
          <t>EUR</t>
        </is>
      </c>
      <c r="F6" s="9">
        <f>INDEX('Курсы'!$B$4:$B$46,MATCH($E6,'Курсы'!$A$4:$A$46,0))</f>
        <v/>
      </c>
      <c r="G6" s="10" t="n">
        <v>0</v>
      </c>
      <c r="H6" s="11" t="n">
        <v>1</v>
      </c>
      <c r="I6" s="11" t="n"/>
      <c r="J6" s="11" t="n"/>
      <c r="K6" s="12" t="inlineStr">
        <is>
          <t>нет</t>
        </is>
      </c>
      <c r="L6" s="10" t="n">
        <v>0.015</v>
      </c>
      <c r="M6" s="11" t="n">
        <v>0.25</v>
      </c>
      <c r="N6" s="12" t="inlineStr">
        <is>
          <t>организатор (счёт после сеанса)</t>
        </is>
      </c>
      <c r="O6" s="12" t="inlineStr">
        <is>
          <t>Тариф старого сайта</t>
        </is>
      </c>
      <c r="P6" s="13">
        <f>(MIN(IF($J6="",1E+9,$J6),MAX(IF($I6="",0,$I6),$G6*P$3*$F6+$H6))+IF($K6="да",0,$L6*P$3*$F6+$M6))/$F6</f>
        <v/>
      </c>
      <c r="Q6" s="13">
        <f>(MIN(IF($J6="",1E+9,$J6),MAX(IF($I6="",0,$I6),$G6*Q$3*$F6+$H6))+IF($K6="да",0,$L6*Q$3*$F6+$M6))/$F6</f>
        <v/>
      </c>
      <c r="R6" s="13">
        <f>(MIN(IF($J6="",1E+9,$J6),MAX(IF($I6="",0,$I6),$G6*R$3*$F6+$H6))+IF($K6="да",0,$L6*R$3*$F6+$M6))/$F6</f>
        <v/>
      </c>
      <c r="S6" s="13">
        <f>(MIN(IF($J6="",1E+9,$J6),MAX(IF($I6="",0,$I6),$G6*S$3*$F6+$H6))+IF($K6="да",0,$L6*S$3*$F6+$M6))/$F6</f>
        <v/>
      </c>
      <c r="T6" s="14">
        <f>P6/P$3</f>
        <v/>
      </c>
      <c r="U6" s="14">
        <f>Q6/Q$3</f>
        <v/>
      </c>
      <c r="V6" s="14">
        <f>R6/R$3</f>
        <v/>
      </c>
      <c r="W6" s="14">
        <f>S6/S$3</f>
        <v/>
      </c>
    </row>
    <row r="7">
      <c r="A7" s="8" t="inlineStr">
        <is>
          <t>Direct merchant</t>
        </is>
      </c>
      <c r="B7" s="8" t="inlineStr">
        <is>
          <t>Arena Sold Out</t>
        </is>
      </c>
      <c r="C7" s="8" t="inlineStr">
        <is>
          <t>EU</t>
        </is>
      </c>
      <c r="D7" s="8" t="inlineStr">
        <is>
          <t>Вариант Б (Марина 08.10): без мест</t>
        </is>
      </c>
      <c r="E7" s="8" t="inlineStr">
        <is>
          <t>EUR</t>
        </is>
      </c>
      <c r="F7" s="9">
        <f>INDEX('Курсы'!$B$4:$B$46,MATCH($E7,'Курсы'!$A$4:$A$46,0))</f>
        <v/>
      </c>
      <c r="G7" s="10" t="n">
        <v>0</v>
      </c>
      <c r="H7" s="11" t="n">
        <v>1</v>
      </c>
      <c r="I7" s="11" t="n"/>
      <c r="J7" s="11" t="n"/>
      <c r="K7" s="12" t="inlineStr">
        <is>
          <t>нет</t>
        </is>
      </c>
      <c r="L7" s="10" t="n">
        <v>0.015</v>
      </c>
      <c r="M7" s="11" t="n">
        <v>0.25</v>
      </c>
      <c r="N7" s="12" t="inlineStr">
        <is>
          <t>организатор (счёт после сеанса)</t>
        </is>
      </c>
      <c r="O7" s="12" t="inlineStr">
        <is>
          <t>Предложение 08.10, не утверждено</t>
        </is>
      </c>
      <c r="P7" s="13">
        <f>(MIN(IF($J7="",1E+9,$J7),MAX(IF($I7="",0,$I7),$G7*P$3*$F7+$H7))+IF($K7="да",0,$L7*P$3*$F7+$M7))/$F7</f>
        <v/>
      </c>
      <c r="Q7" s="13">
        <f>(MIN(IF($J7="",1E+9,$J7),MAX(IF($I7="",0,$I7),$G7*Q$3*$F7+$H7))+IF($K7="да",0,$L7*Q$3*$F7+$M7))/$F7</f>
        <v/>
      </c>
      <c r="R7" s="13">
        <f>(MIN(IF($J7="",1E+9,$J7),MAX(IF($I7="",0,$I7),$G7*R$3*$F7+$H7))+IF($K7="да",0,$L7*R$3*$F7+$M7))/$F7</f>
        <v/>
      </c>
      <c r="S7" s="13">
        <f>(MIN(IF($J7="",1E+9,$J7),MAX(IF($I7="",0,$I7),$G7*S$3*$F7+$H7))+IF($K7="да",0,$L7*S$3*$F7+$M7))/$F7</f>
        <v/>
      </c>
      <c r="T7" s="14">
        <f>P7/P$3</f>
        <v/>
      </c>
      <c r="U7" s="14">
        <f>Q7/Q$3</f>
        <v/>
      </c>
      <c r="V7" s="14">
        <f>R7/R$3</f>
        <v/>
      </c>
      <c r="W7" s="14">
        <f>S7/S$3</f>
        <v/>
      </c>
    </row>
    <row r="8">
      <c r="A8" s="8" t="inlineStr">
        <is>
          <t>Direct merchant</t>
        </is>
      </c>
      <c r="B8" s="8" t="inlineStr">
        <is>
          <t>Arena Sold Out</t>
        </is>
      </c>
      <c r="C8" s="8" t="inlineStr">
        <is>
          <t>EU</t>
        </is>
      </c>
      <c r="D8" s="8" t="inlineStr">
        <is>
          <t>Вариант Б (Марина 08.10): с планом зала</t>
        </is>
      </c>
      <c r="E8" s="8" t="inlineStr">
        <is>
          <t>EUR</t>
        </is>
      </c>
      <c r="F8" s="9">
        <f>INDEX('Курсы'!$B$4:$B$46,MATCH($E8,'Курсы'!$A$4:$A$46,0))</f>
        <v/>
      </c>
      <c r="G8" s="10" t="n">
        <v>0</v>
      </c>
      <c r="H8" s="11" t="n">
        <v>1.5</v>
      </c>
      <c r="I8" s="11" t="n"/>
      <c r="J8" s="11" t="n"/>
      <c r="K8" s="12" t="inlineStr">
        <is>
          <t>нет</t>
        </is>
      </c>
      <c r="L8" s="10" t="n">
        <v>0.015</v>
      </c>
      <c r="M8" s="11" t="n">
        <v>0.25</v>
      </c>
      <c r="N8" s="12" t="inlineStr">
        <is>
          <t>организатор (счёт после сеанса)</t>
        </is>
      </c>
      <c r="O8" s="12" t="inlineStr">
        <is>
          <t>+0,50 за место, прочтение не подтверждено</t>
        </is>
      </c>
      <c r="P8" s="13">
        <f>(MIN(IF($J8="",1E+9,$J8),MAX(IF($I8="",0,$I8),$G8*P$3*$F8+$H8))+IF($K8="да",0,$L8*P$3*$F8+$M8))/$F8</f>
        <v/>
      </c>
      <c r="Q8" s="13">
        <f>(MIN(IF($J8="",1E+9,$J8),MAX(IF($I8="",0,$I8),$G8*Q$3*$F8+$H8))+IF($K8="да",0,$L8*Q$3*$F8+$M8))/$F8</f>
        <v/>
      </c>
      <c r="R8" s="13">
        <f>(MIN(IF($J8="",1E+9,$J8),MAX(IF($I8="",0,$I8),$G8*R$3*$F8+$H8))+IF($K8="да",0,$L8*R$3*$F8+$M8))/$F8</f>
        <v/>
      </c>
      <c r="S8" s="13">
        <f>(MIN(IF($J8="",1E+9,$J8),MAX(IF($I8="",0,$I8),$G8*S$3*$F8+$H8))+IF($K8="да",0,$L8*S$3*$F8+$M8))/$F8</f>
        <v/>
      </c>
      <c r="T8" s="14">
        <f>P8/P$3</f>
        <v/>
      </c>
      <c r="U8" s="14">
        <f>Q8/Q$3</f>
        <v/>
      </c>
      <c r="V8" s="14">
        <f>R8/R$3</f>
        <v/>
      </c>
      <c r="W8" s="14">
        <f>S8/S$3</f>
        <v/>
      </c>
    </row>
    <row r="9">
      <c r="A9" s="8" t="inlineStr">
        <is>
          <t>Direct merchant</t>
        </is>
      </c>
      <c r="B9" s="8" t="inlineStr">
        <is>
          <t>Arena Sold Out</t>
        </is>
      </c>
      <c r="C9" s="8" t="inlineStr">
        <is>
          <t>EU</t>
        </is>
      </c>
      <c r="D9" s="8" t="inlineStr">
        <is>
          <t>Постоянные площадки: 2 %</t>
        </is>
      </c>
      <c r="E9" s="8" t="inlineStr">
        <is>
          <t>EUR</t>
        </is>
      </c>
      <c r="F9" s="9">
        <f>INDEX('Курсы'!$B$4:$B$46,MATCH($E9,'Курсы'!$A$4:$A$46,0))</f>
        <v/>
      </c>
      <c r="G9" s="10" t="n">
        <v>0.02</v>
      </c>
      <c r="H9" s="11" t="n">
        <v>0</v>
      </c>
      <c r="I9" s="11" t="n"/>
      <c r="J9" s="11" t="n"/>
      <c r="K9" s="12" t="inlineStr">
        <is>
          <t>нет</t>
        </is>
      </c>
      <c r="L9" s="10" t="n">
        <v>0.015</v>
      </c>
      <c r="M9" s="11" t="n">
        <v>0.25</v>
      </c>
      <c r="N9" s="12" t="inlineStr">
        <is>
          <t>организатор</t>
        </is>
      </c>
      <c r="O9" s="12" t="inlineStr">
        <is>
          <t>Тариф старого сайта для площадок</t>
        </is>
      </c>
      <c r="P9" s="13">
        <f>(MIN(IF($J9="",1E+9,$J9),MAX(IF($I9="",0,$I9),$G9*P$3*$F9+$H9))+IF($K9="да",0,$L9*P$3*$F9+$M9))/$F9</f>
        <v/>
      </c>
      <c r="Q9" s="13">
        <f>(MIN(IF($J9="",1E+9,$J9),MAX(IF($I9="",0,$I9),$G9*Q$3*$F9+$H9))+IF($K9="да",0,$L9*Q$3*$F9+$M9))/$F9</f>
        <v/>
      </c>
      <c r="R9" s="13">
        <f>(MIN(IF($J9="",1E+9,$J9),MAX(IF($I9="",0,$I9),$G9*R$3*$F9+$H9))+IF($K9="да",0,$L9*R$3*$F9+$M9))/$F9</f>
        <v/>
      </c>
      <c r="S9" s="13">
        <f>(MIN(IF($J9="",1E+9,$J9),MAX(IF($I9="",0,$I9),$G9*S$3*$F9+$H9))+IF($K9="да",0,$L9*S$3*$F9+$M9))/$F9</f>
        <v/>
      </c>
      <c r="T9" s="14">
        <f>P9/P$3</f>
        <v/>
      </c>
      <c r="U9" s="14">
        <f>Q9/Q$3</f>
        <v/>
      </c>
      <c r="V9" s="14">
        <f>R9/R$3</f>
        <v/>
      </c>
      <c r="W9" s="14">
        <f>S9/S$3</f>
        <v/>
      </c>
    </row>
    <row r="10">
      <c r="A10" s="15" t="inlineStr">
        <is>
          <t>Direct merchant</t>
        </is>
      </c>
      <c r="B10" s="15" t="inlineStr">
        <is>
          <t>Ticket Tailor</t>
        </is>
      </c>
      <c r="C10" s="15" t="inlineStr">
        <is>
          <t>UK</t>
        </is>
      </c>
      <c r="D10" s="15" t="inlineStr">
        <is>
          <t>Pay as you sell, без мест</t>
        </is>
      </c>
      <c r="E10" s="15" t="inlineStr">
        <is>
          <t>GBP</t>
        </is>
      </c>
      <c r="F10" s="9">
        <f>INDEX('Курсы'!$B$4:$B$46,MATCH($E10,'Курсы'!$A$4:$A$46,0))</f>
        <v/>
      </c>
      <c r="G10" s="10" t="n">
        <v>0</v>
      </c>
      <c r="H10" s="11" t="n">
        <v>0.6</v>
      </c>
      <c r="I10" s="11" t="n"/>
      <c r="J10" s="11" t="n"/>
      <c r="K10" s="12" t="inlineStr">
        <is>
          <t>нет</t>
        </is>
      </c>
      <c r="L10" s="10" t="n">
        <v>0.015</v>
      </c>
      <c r="M10" s="11" t="n">
        <v>0.2</v>
      </c>
      <c r="N10" s="12" t="inlineStr">
        <is>
          <t>настраивается</t>
        </is>
      </c>
      <c r="O10" s="12" t="inlineStr">
        <is>
          <t>Цены без НДС (+20 %). Сбор не возвращается при возврате билета</t>
        </is>
      </c>
      <c r="P10" s="13">
        <f>(MIN(IF($J10="",1E+9,$J10),MAX(IF($I10="",0,$I10),$G10*P$3*$F10+$H10))+IF($K10="да",0,$L10*P$3*$F10+$M10))/$F10</f>
        <v/>
      </c>
      <c r="Q10" s="13">
        <f>(MIN(IF($J10="",1E+9,$J10),MAX(IF($I10="",0,$I10),$G10*Q$3*$F10+$H10))+IF($K10="да",0,$L10*Q$3*$F10+$M10))/$F10</f>
        <v/>
      </c>
      <c r="R10" s="13">
        <f>(MIN(IF($J10="",1E+9,$J10),MAX(IF($I10="",0,$I10),$G10*R$3*$F10+$H10))+IF($K10="да",0,$L10*R$3*$F10+$M10))/$F10</f>
        <v/>
      </c>
      <c r="S10" s="13">
        <f>(MIN(IF($J10="",1E+9,$J10),MAX(IF($I10="",0,$I10),$G10*S$3*$F10+$H10))+IF($K10="да",0,$L10*S$3*$F10+$M10))/$F10</f>
        <v/>
      </c>
      <c r="T10" s="14">
        <f>P10/P$3</f>
        <v/>
      </c>
      <c r="U10" s="14">
        <f>Q10/Q$3</f>
        <v/>
      </c>
      <c r="V10" s="14">
        <f>R10/R$3</f>
        <v/>
      </c>
      <c r="W10" s="14">
        <f>S10/S$3</f>
        <v/>
      </c>
    </row>
    <row r="11">
      <c r="A11" s="15" t="inlineStr">
        <is>
          <t>Direct merchant</t>
        </is>
      </c>
      <c r="B11" s="15" t="inlineStr">
        <is>
          <t>Ticket Tailor</t>
        </is>
      </c>
      <c r="C11" s="15" t="inlineStr">
        <is>
          <t>UK</t>
        </is>
      </c>
      <c r="D11" s="15" t="inlineStr">
        <is>
          <t>Pay as you sell, с местами (+1 кредит)</t>
        </is>
      </c>
      <c r="E11" s="15" t="inlineStr">
        <is>
          <t>GBP</t>
        </is>
      </c>
      <c r="F11" s="9">
        <f>INDEX('Курсы'!$B$4:$B$46,MATCH($E11,'Курсы'!$A$4:$A$46,0))</f>
        <v/>
      </c>
      <c r="G11" s="10" t="n">
        <v>0</v>
      </c>
      <c r="H11" s="11" t="n">
        <v>1.2</v>
      </c>
      <c r="I11" s="11" t="n"/>
      <c r="J11" s="11" t="n"/>
      <c r="K11" s="12" t="inlineStr">
        <is>
          <t>нет</t>
        </is>
      </c>
      <c r="L11" s="10" t="n">
        <v>0.015</v>
      </c>
      <c r="M11" s="11" t="n">
        <v>0.2</v>
      </c>
      <c r="N11" s="12" t="inlineStr">
        <is>
          <t>настраивается</t>
        </is>
      </c>
      <c r="O11" s="12" t="inlineStr">
        <is>
          <t>Место с рассадкой = 2 кредита</t>
        </is>
      </c>
      <c r="P11" s="13">
        <f>(MIN(IF($J11="",1E+9,$J11),MAX(IF($I11="",0,$I11),$G11*P$3*$F11+$H11))+IF($K11="да",0,$L11*P$3*$F11+$M11))/$F11</f>
        <v/>
      </c>
      <c r="Q11" s="13">
        <f>(MIN(IF($J11="",1E+9,$J11),MAX(IF($I11="",0,$I11),$G11*Q$3*$F11+$H11))+IF($K11="да",0,$L11*Q$3*$F11+$M11))/$F11</f>
        <v/>
      </c>
      <c r="R11" s="13">
        <f>(MIN(IF($J11="",1E+9,$J11),MAX(IF($I11="",0,$I11),$G11*R$3*$F11+$H11))+IF($K11="да",0,$L11*R$3*$F11+$M11))/$F11</f>
        <v/>
      </c>
      <c r="S11" s="13">
        <f>(MIN(IF($J11="",1E+9,$J11),MAX(IF($I11="",0,$I11),$G11*S$3*$F11+$H11))+IF($K11="да",0,$L11*S$3*$F11+$M11))/$F11</f>
        <v/>
      </c>
      <c r="T11" s="14">
        <f>P11/P$3</f>
        <v/>
      </c>
      <c r="U11" s="14">
        <f>Q11/Q$3</f>
        <v/>
      </c>
      <c r="V11" s="14">
        <f>R11/R$3</f>
        <v/>
      </c>
      <c r="W11" s="14">
        <f>S11/S$3</f>
        <v/>
      </c>
    </row>
    <row r="12">
      <c r="A12" s="15" t="inlineStr">
        <is>
          <t>Direct merchant</t>
        </is>
      </c>
      <c r="B12" s="15" t="inlineStr">
        <is>
          <t>Ticket Tailor</t>
        </is>
      </c>
      <c r="C12" s="15" t="inlineStr">
        <is>
          <t>UK</t>
        </is>
      </c>
      <c r="D12" s="15" t="inlineStr">
        <is>
          <t>Предоплата 500 кредитов</t>
        </is>
      </c>
      <c r="E12" s="15" t="inlineStr">
        <is>
          <t>GBP</t>
        </is>
      </c>
      <c r="F12" s="9">
        <f>INDEX('Курсы'!$B$4:$B$46,MATCH($E12,'Курсы'!$A$4:$A$46,0))</f>
        <v/>
      </c>
      <c r="G12" s="10" t="n">
        <v>0</v>
      </c>
      <c r="H12" s="11" t="n">
        <v>0.41</v>
      </c>
      <c r="I12" s="11" t="n"/>
      <c r="J12" s="11" t="n"/>
      <c r="K12" s="12" t="inlineStr">
        <is>
          <t>нет</t>
        </is>
      </c>
      <c r="L12" s="10" t="n">
        <v>0.015</v>
      </c>
      <c r="M12" s="11" t="n">
        <v>0.2</v>
      </c>
      <c r="N12" s="12" t="inlineStr">
        <is>
          <t>настраивается</t>
        </is>
      </c>
      <c r="O12" s="12" t="inlineStr">
        <is>
          <t>Кредиты не сгорают; крупнейшие пакеты от £0,22</t>
        </is>
      </c>
      <c r="P12" s="13">
        <f>(MIN(IF($J12="",1E+9,$J12),MAX(IF($I12="",0,$I12),$G12*P$3*$F12+$H12))+IF($K12="да",0,$L12*P$3*$F12+$M12))/$F12</f>
        <v/>
      </c>
      <c r="Q12" s="13">
        <f>(MIN(IF($J12="",1E+9,$J12),MAX(IF($I12="",0,$I12),$G12*Q$3*$F12+$H12))+IF($K12="да",0,$L12*Q$3*$F12+$M12))/$F12</f>
        <v/>
      </c>
      <c r="R12" s="13">
        <f>(MIN(IF($J12="",1E+9,$J12),MAX(IF($I12="",0,$I12),$G12*R$3*$F12+$H12))+IF($K12="да",0,$L12*R$3*$F12+$M12))/$F12</f>
        <v/>
      </c>
      <c r="S12" s="13">
        <f>(MIN(IF($J12="",1E+9,$J12),MAX(IF($I12="",0,$I12),$G12*S$3*$F12+$H12))+IF($K12="да",0,$L12*S$3*$F12+$M12))/$F12</f>
        <v/>
      </c>
      <c r="T12" s="14">
        <f>P12/P$3</f>
        <v/>
      </c>
      <c r="U12" s="14">
        <f>Q12/Q$3</f>
        <v/>
      </c>
      <c r="V12" s="14">
        <f>R12/R$3</f>
        <v/>
      </c>
      <c r="W12" s="14">
        <f>S12/S$3</f>
        <v/>
      </c>
    </row>
    <row r="13">
      <c r="A13" s="15" t="inlineStr">
        <is>
          <t>Direct merchant</t>
        </is>
      </c>
      <c r="B13" s="15" t="inlineStr">
        <is>
          <t>Ticket Tailor</t>
        </is>
      </c>
      <c r="C13" s="15" t="inlineStr">
        <is>
          <t>Еврозона</t>
        </is>
      </c>
      <c r="D13" s="15" t="inlineStr">
        <is>
          <t>Pay as you sell, без мест</t>
        </is>
      </c>
      <c r="E13" s="15" t="inlineStr">
        <is>
          <t>EUR</t>
        </is>
      </c>
      <c r="F13" s="9">
        <f>INDEX('Курсы'!$B$4:$B$46,MATCH($E13,'Курсы'!$A$4:$A$46,0))</f>
        <v/>
      </c>
      <c r="G13" s="10" t="n">
        <v>0</v>
      </c>
      <c r="H13" s="11" t="n">
        <v>0.7</v>
      </c>
      <c r="I13" s="11" t="n"/>
      <c r="J13" s="11" t="n"/>
      <c r="K13" s="12" t="inlineStr">
        <is>
          <t>нет</t>
        </is>
      </c>
      <c r="L13" s="10" t="n">
        <v>0.015</v>
      </c>
      <c r="M13" s="11" t="n">
        <v>0.25</v>
      </c>
      <c r="N13" s="12" t="inlineStr">
        <is>
          <t>настраивается</t>
        </is>
      </c>
      <c r="O13" s="12" t="inlineStr">
        <is>
          <t>Цены без НДС</t>
        </is>
      </c>
      <c r="P13" s="13">
        <f>(MIN(IF($J13="",1E+9,$J13),MAX(IF($I13="",0,$I13),$G13*P$3*$F13+$H13))+IF($K13="да",0,$L13*P$3*$F13+$M13))/$F13</f>
        <v/>
      </c>
      <c r="Q13" s="13">
        <f>(MIN(IF($J13="",1E+9,$J13),MAX(IF($I13="",0,$I13),$G13*Q$3*$F13+$H13))+IF($K13="да",0,$L13*Q$3*$F13+$M13))/$F13</f>
        <v/>
      </c>
      <c r="R13" s="13">
        <f>(MIN(IF($J13="",1E+9,$J13),MAX(IF($I13="",0,$I13),$G13*R$3*$F13+$H13))+IF($K13="да",0,$L13*R$3*$F13+$M13))/$F13</f>
        <v/>
      </c>
      <c r="S13" s="13">
        <f>(MIN(IF($J13="",1E+9,$J13),MAX(IF($I13="",0,$I13),$G13*S$3*$F13+$H13))+IF($K13="да",0,$L13*S$3*$F13+$M13))/$F13</f>
        <v/>
      </c>
      <c r="T13" s="14">
        <f>P13/P$3</f>
        <v/>
      </c>
      <c r="U13" s="14">
        <f>Q13/Q$3</f>
        <v/>
      </c>
      <c r="V13" s="14">
        <f>R13/R$3</f>
        <v/>
      </c>
      <c r="W13" s="14">
        <f>S13/S$3</f>
        <v/>
      </c>
    </row>
    <row r="14">
      <c r="A14" s="15" t="inlineStr">
        <is>
          <t>Direct merchant</t>
        </is>
      </c>
      <c r="B14" s="15" t="inlineStr">
        <is>
          <t>Ticket Tailor</t>
        </is>
      </c>
      <c r="C14" s="15" t="inlineStr">
        <is>
          <t>Еврозона</t>
        </is>
      </c>
      <c r="D14" s="15" t="inlineStr">
        <is>
          <t>Предоплата (крупные пакеты, ~)</t>
        </is>
      </c>
      <c r="E14" s="15" t="inlineStr">
        <is>
          <t>EUR</t>
        </is>
      </c>
      <c r="F14" s="9">
        <f>INDEX('Курсы'!$B$4:$B$46,MATCH($E14,'Курсы'!$A$4:$A$46,0))</f>
        <v/>
      </c>
      <c r="G14" s="10" t="n">
        <v>0</v>
      </c>
      <c r="H14" s="11" t="n">
        <v>0.3</v>
      </c>
      <c r="I14" s="11" t="n"/>
      <c r="J14" s="11" t="n"/>
      <c r="K14" s="12" t="inlineStr">
        <is>
          <t>нет</t>
        </is>
      </c>
      <c r="L14" s="10" t="n">
        <v>0.015</v>
      </c>
      <c r="M14" s="11" t="n">
        <v>0.25</v>
      </c>
      <c r="N14" s="12" t="inlineStr">
        <is>
          <t>настраивается</t>
        </is>
      </c>
      <c r="O14" s="12" t="inlineStr">
        <is>
          <t>«около €0,30»; точная лестница пакетов в EUR не прочитана [snippet]</t>
        </is>
      </c>
      <c r="P14" s="13">
        <f>(MIN(IF($J14="",1E+9,$J14),MAX(IF($I14="",0,$I14),$G14*P$3*$F14+$H14))+IF($K14="да",0,$L14*P$3*$F14+$M14))/$F14</f>
        <v/>
      </c>
      <c r="Q14" s="13">
        <f>(MIN(IF($J14="",1E+9,$J14),MAX(IF($I14="",0,$I14),$G14*Q$3*$F14+$H14))+IF($K14="да",0,$L14*Q$3*$F14+$M14))/$F14</f>
        <v/>
      </c>
      <c r="R14" s="13">
        <f>(MIN(IF($J14="",1E+9,$J14),MAX(IF($I14="",0,$I14),$G14*R$3*$F14+$H14))+IF($K14="да",0,$L14*R$3*$F14+$M14))/$F14</f>
        <v/>
      </c>
      <c r="S14" s="13">
        <f>(MIN(IF($J14="",1E+9,$J14),MAX(IF($I14="",0,$I14),$G14*S$3*$F14+$H14))+IF($K14="да",0,$L14*S$3*$F14+$M14))/$F14</f>
        <v/>
      </c>
      <c r="T14" s="14">
        <f>P14/P$3</f>
        <v/>
      </c>
      <c r="U14" s="14">
        <f>Q14/Q$3</f>
        <v/>
      </c>
      <c r="V14" s="14">
        <f>R14/R$3</f>
        <v/>
      </c>
      <c r="W14" s="14">
        <f>S14/S$3</f>
        <v/>
      </c>
    </row>
    <row r="15">
      <c r="A15" s="15" t="inlineStr">
        <is>
          <t>Direct merchant</t>
        </is>
      </c>
      <c r="B15" s="15" t="inlineStr">
        <is>
          <t>Ticket Tailor</t>
        </is>
      </c>
      <c r="C15" s="15" t="inlineStr">
        <is>
          <t>США</t>
        </is>
      </c>
      <c r="D15" s="15" t="inlineStr">
        <is>
          <t>Pay as you sell</t>
        </is>
      </c>
      <c r="E15" s="15" t="inlineStr">
        <is>
          <t>USD</t>
        </is>
      </c>
      <c r="F15" s="9">
        <f>INDEX('Курсы'!$B$4:$B$46,MATCH($E15,'Курсы'!$A$4:$A$46,0))</f>
        <v/>
      </c>
      <c r="G15" s="10" t="n">
        <v>0</v>
      </c>
      <c r="H15" s="11" t="n">
        <v>0.85</v>
      </c>
      <c r="I15" s="11" t="n"/>
      <c r="J15" s="11" t="n"/>
      <c r="K15" s="12" t="inlineStr">
        <is>
          <t>нет</t>
        </is>
      </c>
      <c r="L15" s="10" t="n">
        <v>0.029</v>
      </c>
      <c r="M15" s="11" t="n">
        <v>0.3</v>
      </c>
      <c r="N15" s="12" t="inlineStr">
        <is>
          <t>настраивается</t>
        </is>
      </c>
      <c r="O15" s="12" t="inlineStr"/>
      <c r="P15" s="13">
        <f>(MIN(IF($J15="",1E+9,$J15),MAX(IF($I15="",0,$I15),$G15*P$3*$F15+$H15))+IF($K15="да",0,$L15*P$3*$F15+$M15))/$F15</f>
        <v/>
      </c>
      <c r="Q15" s="13">
        <f>(MIN(IF($J15="",1E+9,$J15),MAX(IF($I15="",0,$I15),$G15*Q$3*$F15+$H15))+IF($K15="да",0,$L15*Q$3*$F15+$M15))/$F15</f>
        <v/>
      </c>
      <c r="R15" s="13">
        <f>(MIN(IF($J15="",1E+9,$J15),MAX(IF($I15="",0,$I15),$G15*R$3*$F15+$H15))+IF($K15="да",0,$L15*R$3*$F15+$M15))/$F15</f>
        <v/>
      </c>
      <c r="S15" s="13">
        <f>(MIN(IF($J15="",1E+9,$J15),MAX(IF($I15="",0,$I15),$G15*S$3*$F15+$H15))+IF($K15="да",0,$L15*S$3*$F15+$M15))/$F15</f>
        <v/>
      </c>
      <c r="T15" s="14">
        <f>P15/P$3</f>
        <v/>
      </c>
      <c r="U15" s="14">
        <f>Q15/Q$3</f>
        <v/>
      </c>
      <c r="V15" s="14">
        <f>R15/R$3</f>
        <v/>
      </c>
      <c r="W15" s="14">
        <f>S15/S$3</f>
        <v/>
      </c>
    </row>
    <row r="16">
      <c r="A16" s="15" t="inlineStr">
        <is>
          <t>Direct merchant</t>
        </is>
      </c>
      <c r="B16" s="15" t="inlineStr">
        <is>
          <t>Tito</t>
        </is>
      </c>
      <c r="C16" s="15" t="inlineStr">
        <is>
          <t>Глобально</t>
        </is>
      </c>
      <c r="D16" s="15" t="inlineStr">
        <is>
          <t>Standard</t>
        </is>
      </c>
      <c r="E16" s="15" t="inlineStr">
        <is>
          <t>EUR</t>
        </is>
      </c>
      <c r="F16" s="9">
        <f>INDEX('Курсы'!$B$4:$B$46,MATCH($E16,'Курсы'!$A$4:$A$46,0))</f>
        <v/>
      </c>
      <c r="G16" s="10" t="n">
        <v>0.03</v>
      </c>
      <c r="H16" s="11" t="n">
        <v>0</v>
      </c>
      <c r="I16" s="11" t="n"/>
      <c r="J16" s="11" t="n">
        <v>25</v>
      </c>
      <c r="K16" s="12" t="inlineStr">
        <is>
          <t>нет</t>
        </is>
      </c>
      <c r="L16" s="10" t="n">
        <v>0.015</v>
      </c>
      <c r="M16" s="11" t="n">
        <v>0.25</v>
      </c>
      <c r="N16" s="12" t="inlineStr">
        <is>
          <t>организатор (перекладывать запрещено)</t>
        </is>
      </c>
      <c r="O16" s="12" t="inlineStr">
        <is>
          <t>Потолок €25 за билет</t>
        </is>
      </c>
      <c r="P16" s="13">
        <f>(MIN(IF($J16="",1E+9,$J16),MAX(IF($I16="",0,$I16),$G16*P$3*$F16+$H16))+IF($K16="да",0,$L16*P$3*$F16+$M16))/$F16</f>
        <v/>
      </c>
      <c r="Q16" s="13">
        <f>(MIN(IF($J16="",1E+9,$J16),MAX(IF($I16="",0,$I16),$G16*Q$3*$F16+$H16))+IF($K16="да",0,$L16*Q$3*$F16+$M16))/$F16</f>
        <v/>
      </c>
      <c r="R16" s="13">
        <f>(MIN(IF($J16="",1E+9,$J16),MAX(IF($I16="",0,$I16),$G16*R$3*$F16+$H16))+IF($K16="да",0,$L16*R$3*$F16+$M16))/$F16</f>
        <v/>
      </c>
      <c r="S16" s="13">
        <f>(MIN(IF($J16="",1E+9,$J16),MAX(IF($I16="",0,$I16),$G16*S$3*$F16+$H16))+IF($K16="да",0,$L16*S$3*$F16+$M16))/$F16</f>
        <v/>
      </c>
      <c r="T16" s="14">
        <f>P16/P$3</f>
        <v/>
      </c>
      <c r="U16" s="14">
        <f>Q16/Q$3</f>
        <v/>
      </c>
      <c r="V16" s="14">
        <f>R16/R$3</f>
        <v/>
      </c>
      <c r="W16" s="14">
        <f>S16/S$3</f>
        <v/>
      </c>
    </row>
    <row r="17">
      <c r="A17" s="15" t="inlineStr">
        <is>
          <t>Direct merchant</t>
        </is>
      </c>
      <c r="B17" s="15" t="inlineStr">
        <is>
          <t>pretix (hosted)</t>
        </is>
      </c>
      <c r="C17" s="15" t="inlineStr">
        <is>
          <t>Глобально</t>
        </is>
      </c>
      <c r="D17" s="15" t="inlineStr">
        <is>
          <t>Pay as you go</t>
        </is>
      </c>
      <c r="E17" s="15" t="inlineStr">
        <is>
          <t>EUR</t>
        </is>
      </c>
      <c r="F17" s="9">
        <f>INDEX('Курсы'!$B$4:$B$46,MATCH($E17,'Курсы'!$A$4:$A$46,0))</f>
        <v/>
      </c>
      <c r="G17" s="10" t="n">
        <v>0.025</v>
      </c>
      <c r="H17" s="11" t="n">
        <v>0</v>
      </c>
      <c r="I17" s="11" t="n"/>
      <c r="J17" s="11" t="n">
        <v>15</v>
      </c>
      <c r="K17" s="12" t="inlineStr">
        <is>
          <t>нет</t>
        </is>
      </c>
      <c r="L17" s="10" t="n">
        <v>0.015</v>
      </c>
      <c r="M17" s="11" t="n">
        <v>0.25</v>
      </c>
      <c r="N17" s="12" t="inlineStr">
        <is>
          <t>организатор</t>
        </is>
      </c>
      <c r="O17" s="12" t="inlineStr">
        <is>
          <t>Потолок €15 за билет; некоммерческим 2 %</t>
        </is>
      </c>
      <c r="P17" s="13">
        <f>(MIN(IF($J17="",1E+9,$J17),MAX(IF($I17="",0,$I17),$G17*P$3*$F17+$H17))+IF($K17="да",0,$L17*P$3*$F17+$M17))/$F17</f>
        <v/>
      </c>
      <c r="Q17" s="13">
        <f>(MIN(IF($J17="",1E+9,$J17),MAX(IF($I17="",0,$I17),$G17*Q$3*$F17+$H17))+IF($K17="да",0,$L17*Q$3*$F17+$M17))/$F17</f>
        <v/>
      </c>
      <c r="R17" s="13">
        <f>(MIN(IF($J17="",1E+9,$J17),MAX(IF($I17="",0,$I17),$G17*R$3*$F17+$H17))+IF($K17="да",0,$L17*R$3*$F17+$M17))/$F17</f>
        <v/>
      </c>
      <c r="S17" s="13">
        <f>(MIN(IF($J17="",1E+9,$J17),MAX(IF($I17="",0,$I17),$G17*S$3*$F17+$H17))+IF($K17="да",0,$L17*S$3*$F17+$M17))/$F17</f>
        <v/>
      </c>
      <c r="T17" s="14">
        <f>P17/P$3</f>
        <v/>
      </c>
      <c r="U17" s="14">
        <f>Q17/Q$3</f>
        <v/>
      </c>
      <c r="V17" s="14">
        <f>R17/R$3</f>
        <v/>
      </c>
      <c r="W17" s="14">
        <f>S17/S$3</f>
        <v/>
      </c>
    </row>
    <row r="18">
      <c r="A18" s="15" t="inlineStr">
        <is>
          <t>Оба (показан direct)</t>
        </is>
      </c>
      <c r="B18" s="15" t="inlineStr">
        <is>
          <t>Humanitix</t>
        </is>
      </c>
      <c r="C18" s="15" t="inlineStr">
        <is>
          <t>Еврозона</t>
        </is>
      </c>
      <c r="D18" s="15" t="inlineStr">
        <is>
          <t>Standard (свой Stripe)</t>
        </is>
      </c>
      <c r="E18" s="15" t="inlineStr">
        <is>
          <t>EUR</t>
        </is>
      </c>
      <c r="F18" s="9">
        <f>INDEX('Курсы'!$B$4:$B$46,MATCH($E18,'Курсы'!$A$4:$A$46,0))</f>
        <v/>
      </c>
      <c r="G18" s="10" t="n">
        <v>0.021</v>
      </c>
      <c r="H18" s="11" t="n">
        <v>0.99</v>
      </c>
      <c r="I18" s="11" t="n"/>
      <c r="J18" s="11" t="n"/>
      <c r="K18" s="12" t="inlineStr">
        <is>
          <t>нет</t>
        </is>
      </c>
      <c r="L18" s="10" t="n">
        <v>0.015</v>
      </c>
      <c r="M18" s="11" t="n">
        <v>0.25</v>
      </c>
      <c r="N18" s="12" t="inlineStr">
        <is>
          <t>покупатель по умолчанию</t>
        </is>
      </c>
      <c r="O18" s="12" t="inlineStr">
        <is>
          <t>Прибыль идёт на благотворительность</t>
        </is>
      </c>
      <c r="P18" s="13">
        <f>(MIN(IF($J18="",1E+9,$J18),MAX(IF($I18="",0,$I18),$G18*P$3*$F18+$H18))+IF($K18="да",0,$L18*P$3*$F18+$M18))/$F18</f>
        <v/>
      </c>
      <c r="Q18" s="13">
        <f>(MIN(IF($J18="",1E+9,$J18),MAX(IF($I18="",0,$I18),$G18*Q$3*$F18+$H18))+IF($K18="да",0,$L18*Q$3*$F18+$M18))/$F18</f>
        <v/>
      </c>
      <c r="R18" s="13">
        <f>(MIN(IF($J18="",1E+9,$J18),MAX(IF($I18="",0,$I18),$G18*R$3*$F18+$H18))+IF($K18="да",0,$L18*R$3*$F18+$M18))/$F18</f>
        <v/>
      </c>
      <c r="S18" s="13">
        <f>(MIN(IF($J18="",1E+9,$J18),MAX(IF($I18="",0,$I18),$G18*S$3*$F18+$H18))+IF($K18="да",0,$L18*S$3*$F18+$M18))/$F18</f>
        <v/>
      </c>
      <c r="T18" s="14">
        <f>P18/P$3</f>
        <v/>
      </c>
      <c r="U18" s="14">
        <f>Q18/Q$3</f>
        <v/>
      </c>
      <c r="V18" s="14">
        <f>R18/R$3</f>
        <v/>
      </c>
      <c r="W18" s="14">
        <f>S18/S$3</f>
        <v/>
      </c>
    </row>
    <row r="19">
      <c r="A19" s="15" t="inlineStr">
        <is>
          <t>Direct merchant</t>
        </is>
      </c>
      <c r="B19" s="15" t="inlineStr">
        <is>
          <t>Luma</t>
        </is>
      </c>
      <c r="C19" s="15" t="inlineStr">
        <is>
          <t>Глобально</t>
        </is>
      </c>
      <c r="D19" s="15" t="inlineStr">
        <is>
          <t>Free</t>
        </is>
      </c>
      <c r="E19" s="15" t="inlineStr">
        <is>
          <t>USD</t>
        </is>
      </c>
      <c r="F19" s="9">
        <f>INDEX('Курсы'!$B$4:$B$46,MATCH($E19,'Курсы'!$A$4:$A$46,0))</f>
        <v/>
      </c>
      <c r="G19" s="10" t="n">
        <v>0.05</v>
      </c>
      <c r="H19" s="11" t="n">
        <v>0</v>
      </c>
      <c r="I19" s="11" t="n"/>
      <c r="J19" s="11" t="n"/>
      <c r="K19" s="12" t="inlineStr">
        <is>
          <t>нет</t>
        </is>
      </c>
      <c r="L19" s="10" t="n">
        <v>0.029</v>
      </c>
      <c r="M19" s="11" t="n">
        <v>0.3</v>
      </c>
      <c r="N19" s="12" t="inlineStr">
        <is>
          <t>организатор</t>
        </is>
      </c>
      <c r="O19" s="12" t="inlineStr">
        <is>
          <t>Luma Plus $69/мес = 0 %</t>
        </is>
      </c>
      <c r="P19" s="13">
        <f>(MIN(IF($J19="",1E+9,$J19),MAX(IF($I19="",0,$I19),$G19*P$3*$F19+$H19))+IF($K19="да",0,$L19*P$3*$F19+$M19))/$F19</f>
        <v/>
      </c>
      <c r="Q19" s="13">
        <f>(MIN(IF($J19="",1E+9,$J19),MAX(IF($I19="",0,$I19),$G19*Q$3*$F19+$H19))+IF($K19="да",0,$L19*Q$3*$F19+$M19))/$F19</f>
        <v/>
      </c>
      <c r="R19" s="13">
        <f>(MIN(IF($J19="",1E+9,$J19),MAX(IF($I19="",0,$I19),$G19*R$3*$F19+$H19))+IF($K19="да",0,$L19*R$3*$F19+$M19))/$F19</f>
        <v/>
      </c>
      <c r="S19" s="13">
        <f>(MIN(IF($J19="",1E+9,$J19),MAX(IF($I19="",0,$I19),$G19*S$3*$F19+$H19))+IF($K19="да",0,$L19*S$3*$F19+$M19))/$F19</f>
        <v/>
      </c>
      <c r="T19" s="14">
        <f>P19/P$3</f>
        <v/>
      </c>
      <c r="U19" s="14">
        <f>Q19/Q$3</f>
        <v/>
      </c>
      <c r="V19" s="14">
        <f>R19/R$3</f>
        <v/>
      </c>
      <c r="W19" s="14">
        <f>S19/S$3</f>
        <v/>
      </c>
    </row>
    <row r="20">
      <c r="A20" s="15" t="inlineStr">
        <is>
          <t>Оба (показан direct)</t>
        </is>
      </c>
      <c r="B20" s="15" t="inlineStr">
        <is>
          <t>TryBooking</t>
        </is>
      </c>
      <c r="C20" s="15" t="inlineStr">
        <is>
          <t>UK</t>
        </is>
      </c>
      <c r="D20" s="15" t="inlineStr">
        <is>
          <t>You handle payments (свой Stripe)</t>
        </is>
      </c>
      <c r="E20" s="15" t="inlineStr">
        <is>
          <t>GBP</t>
        </is>
      </c>
      <c r="F20" s="9">
        <f>INDEX('Курсы'!$B$4:$B$46,MATCH($E20,'Курсы'!$A$4:$A$46,0))</f>
        <v/>
      </c>
      <c r="G20" s="10" t="n">
        <v>0</v>
      </c>
      <c r="H20" s="11" t="n">
        <v>0.75</v>
      </c>
      <c r="I20" s="11" t="n"/>
      <c r="J20" s="11" t="n"/>
      <c r="K20" s="12" t="inlineStr">
        <is>
          <t>нет</t>
        </is>
      </c>
      <c r="L20" s="10" t="n">
        <v>0.015</v>
      </c>
      <c r="M20" s="11" t="n">
        <v>0.2</v>
      </c>
      <c r="N20" s="12" t="inlineStr">
        <is>
          <t>настраивается</t>
        </is>
      </c>
      <c r="O20" s="12" t="inlineStr">
        <is>
          <t>Платформа «никогда не держит» деньги</t>
        </is>
      </c>
      <c r="P20" s="13">
        <f>(MIN(IF($J20="",1E+9,$J20),MAX(IF($I20="",0,$I20),$G20*P$3*$F20+$H20))+IF($K20="да",0,$L20*P$3*$F20+$M20))/$F20</f>
        <v/>
      </c>
      <c r="Q20" s="13">
        <f>(MIN(IF($J20="",1E+9,$J20),MAX(IF($I20="",0,$I20),$G20*Q$3*$F20+$H20))+IF($K20="да",0,$L20*Q$3*$F20+$M20))/$F20</f>
        <v/>
      </c>
      <c r="R20" s="13">
        <f>(MIN(IF($J20="",1E+9,$J20),MAX(IF($I20="",0,$I20),$G20*R$3*$F20+$H20))+IF($K20="да",0,$L20*R$3*$F20+$M20))/$F20</f>
        <v/>
      </c>
      <c r="S20" s="13">
        <f>(MIN(IF($J20="",1E+9,$J20),MAX(IF($I20="",0,$I20),$G20*S$3*$F20+$H20))+IF($K20="да",0,$L20*S$3*$F20+$M20))/$F20</f>
        <v/>
      </c>
      <c r="T20" s="14">
        <f>P20/P$3</f>
        <v/>
      </c>
      <c r="U20" s="14">
        <f>Q20/Q$3</f>
        <v/>
      </c>
      <c r="V20" s="14">
        <f>R20/R$3</f>
        <v/>
      </c>
      <c r="W20" s="14">
        <f>S20/S$3</f>
        <v/>
      </c>
    </row>
    <row r="21">
      <c r="A21" s="15" t="inlineStr">
        <is>
          <t>Оба (показан direct)</t>
        </is>
      </c>
      <c r="B21" s="15" t="inlineStr">
        <is>
          <t>TryBooking</t>
        </is>
      </c>
      <c r="C21" s="15" t="inlineStr">
        <is>
          <t>Австралия</t>
        </is>
      </c>
      <c r="D21" s="15" t="inlineStr">
        <is>
          <t>Own Stripe account</t>
        </is>
      </c>
      <c r="E21" s="15" t="inlineStr">
        <is>
          <t>AUD</t>
        </is>
      </c>
      <c r="F21" s="9">
        <f>INDEX('Курсы'!$B$4:$B$46,MATCH($E21,'Курсы'!$A$4:$A$46,0))</f>
        <v/>
      </c>
      <c r="G21" s="10" t="n">
        <v>0.01</v>
      </c>
      <c r="H21" s="11" t="n">
        <v>0.5</v>
      </c>
      <c r="I21" s="11" t="n"/>
      <c r="J21" s="11" t="n"/>
      <c r="K21" s="12" t="inlineStr">
        <is>
          <t>нет</t>
        </is>
      </c>
      <c r="L21" s="10" t="n">
        <v>0.0165</v>
      </c>
      <c r="M21" s="11" t="n">
        <v>0.3</v>
      </c>
      <c r="N21" s="12" t="inlineStr">
        <is>
          <t>настраивается</t>
        </is>
      </c>
      <c r="O21" s="12" t="inlineStr"/>
      <c r="P21" s="13">
        <f>(MIN(IF($J21="",1E+9,$J21),MAX(IF($I21="",0,$I21),$G21*P$3*$F21+$H21))+IF($K21="да",0,$L21*P$3*$F21+$M21))/$F21</f>
        <v/>
      </c>
      <c r="Q21" s="13">
        <f>(MIN(IF($J21="",1E+9,$J21),MAX(IF($I21="",0,$I21),$G21*Q$3*$F21+$H21))+IF($K21="да",0,$L21*Q$3*$F21+$M21))/$F21</f>
        <v/>
      </c>
      <c r="R21" s="13">
        <f>(MIN(IF($J21="",1E+9,$J21),MAX(IF($I21="",0,$I21),$G21*R$3*$F21+$H21))+IF($K21="да",0,$L21*R$3*$F21+$M21))/$F21</f>
        <v/>
      </c>
      <c r="S21" s="13">
        <f>(MIN(IF($J21="",1E+9,$J21),MAX(IF($I21="",0,$I21),$G21*S$3*$F21+$H21))+IF($K21="да",0,$L21*S$3*$F21+$M21))/$F21</f>
        <v/>
      </c>
      <c r="T21" s="14">
        <f>P21/P$3</f>
        <v/>
      </c>
      <c r="U21" s="14">
        <f>Q21/Q$3</f>
        <v/>
      </c>
      <c r="V21" s="14">
        <f>R21/R$3</f>
        <v/>
      </c>
      <c r="W21" s="14">
        <f>S21/S$3</f>
        <v/>
      </c>
    </row>
    <row r="22">
      <c r="A22" s="15" t="inlineStr">
        <is>
          <t>Оба (показан direct)</t>
        </is>
      </c>
      <c r="B22" s="15" t="inlineStr">
        <is>
          <t>TicketSource</t>
        </is>
      </c>
      <c r="C22" s="15" t="inlineStr">
        <is>
          <t>UK</t>
        </is>
      </c>
      <c r="D22" s="15" t="inlineStr">
        <is>
          <t>Свой Stripe</t>
        </is>
      </c>
      <c r="E22" s="15" t="inlineStr">
        <is>
          <t>GBP</t>
        </is>
      </c>
      <c r="F22" s="9">
        <f>INDEX('Курсы'!$B$4:$B$46,MATCH($E22,'Курсы'!$A$4:$A$46,0))</f>
        <v/>
      </c>
      <c r="G22" s="10" t="n">
        <v>0.045</v>
      </c>
      <c r="H22" s="11" t="n">
        <v>0</v>
      </c>
      <c r="I22" s="11" t="n"/>
      <c r="J22" s="11" t="n"/>
      <c r="K22" s="12" t="inlineStr">
        <is>
          <t>нет</t>
        </is>
      </c>
      <c r="L22" s="10" t="n">
        <v>0.015</v>
      </c>
      <c r="M22" s="11" t="n">
        <v>0.2</v>
      </c>
      <c r="N22" s="12" t="inlineStr">
        <is>
          <t>настраивается</t>
        </is>
      </c>
      <c r="O22" s="12" t="inlineStr">
        <is>
          <t>С заказа, а не с билета; +НДС</t>
        </is>
      </c>
      <c r="P22" s="13">
        <f>(MIN(IF($J22="",1E+9,$J22),MAX(IF($I22="",0,$I22),$G22*P$3*$F22+$H22))+IF($K22="да",0,$L22*P$3*$F22+$M22))/$F22</f>
        <v/>
      </c>
      <c r="Q22" s="13">
        <f>(MIN(IF($J22="",1E+9,$J22),MAX(IF($I22="",0,$I22),$G22*Q$3*$F22+$H22))+IF($K22="да",0,$L22*Q$3*$F22+$M22))/$F22</f>
        <v/>
      </c>
      <c r="R22" s="13">
        <f>(MIN(IF($J22="",1E+9,$J22),MAX(IF($I22="",0,$I22),$G22*R$3*$F22+$H22))+IF($K22="да",0,$L22*R$3*$F22+$M22))/$F22</f>
        <v/>
      </c>
      <c r="S22" s="13">
        <f>(MIN(IF($J22="",1E+9,$J22),MAX(IF($I22="",0,$I22),$G22*S$3*$F22+$H22))+IF($K22="да",0,$L22*S$3*$F22+$M22))/$F22</f>
        <v/>
      </c>
      <c r="T22" s="14">
        <f>P22/P$3</f>
        <v/>
      </c>
      <c r="U22" s="14">
        <f>Q22/Q$3</f>
        <v/>
      </c>
      <c r="V22" s="14">
        <f>R22/R$3</f>
        <v/>
      </c>
      <c r="W22" s="14">
        <f>S22/S$3</f>
        <v/>
      </c>
    </row>
    <row r="23">
      <c r="A23" s="15" t="inlineStr">
        <is>
          <t>Direct merchant</t>
        </is>
      </c>
      <c r="B23" s="15" t="inlineStr">
        <is>
          <t>SimpleTix</t>
        </is>
      </c>
      <c r="C23" s="15" t="inlineStr">
        <is>
          <t>Глобально</t>
        </is>
      </c>
      <c r="D23" s="15" t="inlineStr">
        <is>
          <t>Online</t>
        </is>
      </c>
      <c r="E23" s="15" t="inlineStr">
        <is>
          <t>USD</t>
        </is>
      </c>
      <c r="F23" s="9">
        <f>INDEX('Курсы'!$B$4:$B$46,MATCH($E23,'Курсы'!$A$4:$A$46,0))</f>
        <v/>
      </c>
      <c r="G23" s="10" t="n">
        <v>0.02</v>
      </c>
      <c r="H23" s="11" t="n">
        <v>0.79</v>
      </c>
      <c r="I23" s="11" t="n"/>
      <c r="J23" s="11" t="n">
        <v>9.99</v>
      </c>
      <c r="K23" s="12" t="inlineStr">
        <is>
          <t>нет</t>
        </is>
      </c>
      <c r="L23" s="10" t="n">
        <v>0.029</v>
      </c>
      <c r="M23" s="11" t="n">
        <v>0.3</v>
      </c>
      <c r="N23" s="12" t="inlineStr">
        <is>
          <t>настраивается</t>
        </is>
      </c>
      <c r="O23" s="12" t="inlineStr">
        <is>
          <t>Удерживает внутри платежа Stripe/PayPal/Square</t>
        </is>
      </c>
      <c r="P23" s="13">
        <f>(MIN(IF($J23="",1E+9,$J23),MAX(IF($I23="",0,$I23),$G23*P$3*$F23+$H23))+IF($K23="да",0,$L23*P$3*$F23+$M23))/$F23</f>
        <v/>
      </c>
      <c r="Q23" s="13">
        <f>(MIN(IF($J23="",1E+9,$J23),MAX(IF($I23="",0,$I23),$G23*Q$3*$F23+$H23))+IF($K23="да",0,$L23*Q$3*$F23+$M23))/$F23</f>
        <v/>
      </c>
      <c r="R23" s="13">
        <f>(MIN(IF($J23="",1E+9,$J23),MAX(IF($I23="",0,$I23),$G23*R$3*$F23+$H23))+IF($K23="да",0,$L23*R$3*$F23+$M23))/$F23</f>
        <v/>
      </c>
      <c r="S23" s="13">
        <f>(MIN(IF($J23="",1E+9,$J23),MAX(IF($I23="",0,$I23),$G23*S$3*$F23+$H23))+IF($K23="да",0,$L23*S$3*$F23+$M23))/$F23</f>
        <v/>
      </c>
      <c r="T23" s="14">
        <f>P23/P$3</f>
        <v/>
      </c>
      <c r="U23" s="14">
        <f>Q23/Q$3</f>
        <v/>
      </c>
      <c r="V23" s="14">
        <f>R23/R$3</f>
        <v/>
      </c>
      <c r="W23" s="14">
        <f>S23/S$3</f>
        <v/>
      </c>
    </row>
    <row r="24">
      <c r="A24" s="15" t="inlineStr">
        <is>
          <t>Direct merchant</t>
        </is>
      </c>
      <c r="B24" s="15" t="inlineStr">
        <is>
          <t>Yapsody</t>
        </is>
      </c>
      <c r="C24" s="15" t="inlineStr">
        <is>
          <t>Глобально</t>
        </is>
      </c>
      <c r="D24" s="15" t="inlineStr">
        <is>
          <t>General seating</t>
        </is>
      </c>
      <c r="E24" s="15" t="inlineStr">
        <is>
          <t>USD</t>
        </is>
      </c>
      <c r="F24" s="9">
        <f>INDEX('Курсы'!$B$4:$B$46,MATCH($E24,'Курсы'!$A$4:$A$46,0))</f>
        <v/>
      </c>
      <c r="G24" s="10" t="n">
        <v>0.0175</v>
      </c>
      <c r="H24" s="11" t="n">
        <v>0.59</v>
      </c>
      <c r="I24" s="11" t="n"/>
      <c r="J24" s="11" t="n"/>
      <c r="K24" s="12" t="inlineStr">
        <is>
          <t>нет</t>
        </is>
      </c>
      <c r="L24" s="10" t="n">
        <v>0.029</v>
      </c>
      <c r="M24" s="11" t="n">
        <v>0.3</v>
      </c>
      <c r="N24" s="12" t="inlineStr">
        <is>
          <t>настраивается</t>
        </is>
      </c>
      <c r="O24" s="12" t="inlineStr">
        <is>
          <t>Счёт раз в месяц</t>
        </is>
      </c>
      <c r="P24" s="13">
        <f>(MIN(IF($J24="",1E+9,$J24),MAX(IF($I24="",0,$I24),$G24*P$3*$F24+$H24))+IF($K24="да",0,$L24*P$3*$F24+$M24))/$F24</f>
        <v/>
      </c>
      <c r="Q24" s="13">
        <f>(MIN(IF($J24="",1E+9,$J24),MAX(IF($I24="",0,$I24),$G24*Q$3*$F24+$H24))+IF($K24="да",0,$L24*Q$3*$F24+$M24))/$F24</f>
        <v/>
      </c>
      <c r="R24" s="13">
        <f>(MIN(IF($J24="",1E+9,$J24),MAX(IF($I24="",0,$I24),$G24*R$3*$F24+$H24))+IF($K24="да",0,$L24*R$3*$F24+$M24))/$F24</f>
        <v/>
      </c>
      <c r="S24" s="13">
        <f>(MIN(IF($J24="",1E+9,$J24),MAX(IF($I24="",0,$I24),$G24*S$3*$F24+$H24))+IF($K24="да",0,$L24*S$3*$F24+$M24))/$F24</f>
        <v/>
      </c>
      <c r="T24" s="14">
        <f>P24/P$3</f>
        <v/>
      </c>
      <c r="U24" s="14">
        <f>Q24/Q$3</f>
        <v/>
      </c>
      <c r="V24" s="14">
        <f>R24/R$3</f>
        <v/>
      </c>
      <c r="W24" s="14">
        <f>S24/S$3</f>
        <v/>
      </c>
    </row>
    <row r="25">
      <c r="A25" s="15" t="inlineStr">
        <is>
          <t>Direct merchant</t>
        </is>
      </c>
      <c r="B25" s="15" t="inlineStr">
        <is>
          <t>Yapsody</t>
        </is>
      </c>
      <c r="C25" s="15" t="inlineStr">
        <is>
          <t>Глобально</t>
        </is>
      </c>
      <c r="D25" s="15" t="inlineStr">
        <is>
          <t>Reserved seating</t>
        </is>
      </c>
      <c r="E25" s="15" t="inlineStr">
        <is>
          <t>USD</t>
        </is>
      </c>
      <c r="F25" s="9">
        <f>INDEX('Курсы'!$B$4:$B$46,MATCH($E25,'Курсы'!$A$4:$A$46,0))</f>
        <v/>
      </c>
      <c r="G25" s="10" t="n">
        <v>0.0249</v>
      </c>
      <c r="H25" s="11" t="n">
        <v>0.98</v>
      </c>
      <c r="I25" s="11" t="n"/>
      <c r="J25" s="11" t="n"/>
      <c r="K25" s="12" t="inlineStr">
        <is>
          <t>нет</t>
        </is>
      </c>
      <c r="L25" s="10" t="n">
        <v>0.029</v>
      </c>
      <c r="M25" s="11" t="n">
        <v>0.3</v>
      </c>
      <c r="N25" s="12" t="inlineStr">
        <is>
          <t>настраивается</t>
        </is>
      </c>
      <c r="O25" s="12" t="inlineStr"/>
      <c r="P25" s="13">
        <f>(MIN(IF($J25="",1E+9,$J25),MAX(IF($I25="",0,$I25),$G25*P$3*$F25+$H25))+IF($K25="да",0,$L25*P$3*$F25+$M25))/$F25</f>
        <v/>
      </c>
      <c r="Q25" s="13">
        <f>(MIN(IF($J25="",1E+9,$J25),MAX(IF($I25="",0,$I25),$G25*Q$3*$F25+$H25))+IF($K25="да",0,$L25*Q$3*$F25+$M25))/$F25</f>
        <v/>
      </c>
      <c r="R25" s="13">
        <f>(MIN(IF($J25="",1E+9,$J25),MAX(IF($I25="",0,$I25),$G25*R$3*$F25+$H25))+IF($K25="да",0,$L25*R$3*$F25+$M25))/$F25</f>
        <v/>
      </c>
      <c r="S25" s="13">
        <f>(MIN(IF($J25="",1E+9,$J25),MAX(IF($I25="",0,$I25),$G25*S$3*$F25+$H25))+IF($K25="да",0,$L25*S$3*$F25+$M25))/$F25</f>
        <v/>
      </c>
      <c r="T25" s="14">
        <f>P25/P$3</f>
        <v/>
      </c>
      <c r="U25" s="14">
        <f>Q25/Q$3</f>
        <v/>
      </c>
      <c r="V25" s="14">
        <f>R25/R$3</f>
        <v/>
      </c>
      <c r="W25" s="14">
        <f>S25/S$3</f>
        <v/>
      </c>
    </row>
    <row r="26">
      <c r="A26" s="15" t="inlineStr">
        <is>
          <t>Direct merchant</t>
        </is>
      </c>
      <c r="B26" s="15" t="inlineStr">
        <is>
          <t>ThunderTix</t>
        </is>
      </c>
      <c r="C26" s="15" t="inlineStr">
        <is>
          <t>США</t>
        </is>
      </c>
      <c r="D26" s="15" t="inlineStr">
        <is>
          <t>General Admission</t>
        </is>
      </c>
      <c r="E26" s="15" t="inlineStr">
        <is>
          <t>USD</t>
        </is>
      </c>
      <c r="F26" s="9">
        <f>INDEX('Курсы'!$B$4:$B$46,MATCH($E26,'Курсы'!$A$4:$A$46,0))</f>
        <v/>
      </c>
      <c r="G26" s="10" t="n">
        <v>0</v>
      </c>
      <c r="H26" s="11" t="n">
        <v>1</v>
      </c>
      <c r="I26" s="11" t="n"/>
      <c r="J26" s="11" t="n"/>
      <c r="K26" s="12" t="inlineStr">
        <is>
          <t>нет</t>
        </is>
      </c>
      <c r="L26" s="10" t="n">
        <v>0.029</v>
      </c>
      <c r="M26" s="11" t="n">
        <v>0.3</v>
      </c>
      <c r="N26" s="12" t="inlineStr">
        <is>
          <t>—</t>
        </is>
      </c>
      <c r="O26" s="12" t="inlineStr">
        <is>
          <t>Плюс $20/мес (не учтено в сценарии)</t>
        </is>
      </c>
      <c r="P26" s="13">
        <f>(MIN(IF($J26="",1E+9,$J26),MAX(IF($I26="",0,$I26),$G26*P$3*$F26+$H26))+IF($K26="да",0,$L26*P$3*$F26+$M26))/$F26</f>
        <v/>
      </c>
      <c r="Q26" s="13">
        <f>(MIN(IF($J26="",1E+9,$J26),MAX(IF($I26="",0,$I26),$G26*Q$3*$F26+$H26))+IF($K26="да",0,$L26*Q$3*$F26+$M26))/$F26</f>
        <v/>
      </c>
      <c r="R26" s="13">
        <f>(MIN(IF($J26="",1E+9,$J26),MAX(IF($I26="",0,$I26),$G26*R$3*$F26+$H26))+IF($K26="да",0,$L26*R$3*$F26+$M26))/$F26</f>
        <v/>
      </c>
      <c r="S26" s="13">
        <f>(MIN(IF($J26="",1E+9,$J26),MAX(IF($I26="",0,$I26),$G26*S$3*$F26+$H26))+IF($K26="да",0,$L26*S$3*$F26+$M26))/$F26</f>
        <v/>
      </c>
      <c r="T26" s="14">
        <f>P26/P$3</f>
        <v/>
      </c>
      <c r="U26" s="14">
        <f>Q26/Q$3</f>
        <v/>
      </c>
      <c r="V26" s="14">
        <f>R26/R$3</f>
        <v/>
      </c>
      <c r="W26" s="14">
        <f>S26/S$3</f>
        <v/>
      </c>
    </row>
    <row r="27">
      <c r="A27" s="15" t="inlineStr">
        <is>
          <t>Direct merchant</t>
        </is>
      </c>
      <c r="B27" s="15" t="inlineStr">
        <is>
          <t>ThunderTix</t>
        </is>
      </c>
      <c r="C27" s="15" t="inlineStr">
        <is>
          <t>США</t>
        </is>
      </c>
      <c r="D27" s="15" t="inlineStr">
        <is>
          <t>Reserved Seating</t>
        </is>
      </c>
      <c r="E27" s="15" t="inlineStr">
        <is>
          <t>USD</t>
        </is>
      </c>
      <c r="F27" s="9">
        <f>INDEX('Курсы'!$B$4:$B$46,MATCH($E27,'Курсы'!$A$4:$A$46,0))</f>
        <v/>
      </c>
      <c r="G27" s="10" t="n">
        <v>0</v>
      </c>
      <c r="H27" s="11" t="n">
        <v>1.25</v>
      </c>
      <c r="I27" s="11" t="n"/>
      <c r="J27" s="11" t="n"/>
      <c r="K27" s="12" t="inlineStr">
        <is>
          <t>нет</t>
        </is>
      </c>
      <c r="L27" s="10" t="n">
        <v>0.029</v>
      </c>
      <c r="M27" s="11" t="n">
        <v>0.3</v>
      </c>
      <c r="N27" s="12" t="inlineStr">
        <is>
          <t>—</t>
        </is>
      </c>
      <c r="O27" s="12" t="inlineStr">
        <is>
          <t>Плюс $25/мес; схема $0,55 за место, мин. $250</t>
        </is>
      </c>
      <c r="P27" s="13">
        <f>(MIN(IF($J27="",1E+9,$J27),MAX(IF($I27="",0,$I27),$G27*P$3*$F27+$H27))+IF($K27="да",0,$L27*P$3*$F27+$M27))/$F27</f>
        <v/>
      </c>
      <c r="Q27" s="13">
        <f>(MIN(IF($J27="",1E+9,$J27),MAX(IF($I27="",0,$I27),$G27*Q$3*$F27+$H27))+IF($K27="да",0,$L27*Q$3*$F27+$M27))/$F27</f>
        <v/>
      </c>
      <c r="R27" s="13">
        <f>(MIN(IF($J27="",1E+9,$J27),MAX(IF($I27="",0,$I27),$G27*R$3*$F27+$H27))+IF($K27="да",0,$L27*R$3*$F27+$M27))/$F27</f>
        <v/>
      </c>
      <c r="S27" s="13">
        <f>(MIN(IF($J27="",1E+9,$J27),MAX(IF($I27="",0,$I27),$G27*S$3*$F27+$H27))+IF($K27="да",0,$L27*S$3*$F27+$M27))/$F27</f>
        <v/>
      </c>
      <c r="T27" s="14">
        <f>P27/P$3</f>
        <v/>
      </c>
      <c r="U27" s="14">
        <f>Q27/Q$3</f>
        <v/>
      </c>
      <c r="V27" s="14">
        <f>R27/R$3</f>
        <v/>
      </c>
      <c r="W27" s="14">
        <f>S27/S$3</f>
        <v/>
      </c>
    </row>
    <row r="28">
      <c r="A28" s="15" t="inlineStr">
        <is>
          <t>Direct merchant</t>
        </is>
      </c>
      <c r="B28" s="15" t="inlineStr">
        <is>
          <t>Brushfire</t>
        </is>
      </c>
      <c r="C28" s="15" t="inlineStr">
        <is>
          <t>США</t>
        </is>
      </c>
      <c r="D28" s="15" t="inlineStr">
        <is>
          <t>Other events</t>
        </is>
      </c>
      <c r="E28" s="15" t="inlineStr">
        <is>
          <t>USD</t>
        </is>
      </c>
      <c r="F28" s="9">
        <f>INDEX('Курсы'!$B$4:$B$46,MATCH($E28,'Курсы'!$A$4:$A$46,0))</f>
        <v/>
      </c>
      <c r="G28" s="10" t="n">
        <v>0.01</v>
      </c>
      <c r="H28" s="11" t="n">
        <v>1.5</v>
      </c>
      <c r="I28" s="11" t="n"/>
      <c r="J28" s="11" t="n"/>
      <c r="K28" s="12" t="inlineStr">
        <is>
          <t>нет</t>
        </is>
      </c>
      <c r="L28" s="10" t="n">
        <v>0.029</v>
      </c>
      <c r="M28" s="11" t="n">
        <v>0.3</v>
      </c>
      <c r="N28" s="12" t="inlineStr">
        <is>
          <t>настраивается</t>
        </is>
      </c>
      <c r="O28" s="12" t="inlineStr"/>
      <c r="P28" s="13">
        <f>(MIN(IF($J28="",1E+9,$J28),MAX(IF($I28="",0,$I28),$G28*P$3*$F28+$H28))+IF($K28="да",0,$L28*P$3*$F28+$M28))/$F28</f>
        <v/>
      </c>
      <c r="Q28" s="13">
        <f>(MIN(IF($J28="",1E+9,$J28),MAX(IF($I28="",0,$I28),$G28*Q$3*$F28+$H28))+IF($K28="да",0,$L28*Q$3*$F28+$M28))/$F28</f>
        <v/>
      </c>
      <c r="R28" s="13">
        <f>(MIN(IF($J28="",1E+9,$J28),MAX(IF($I28="",0,$I28),$G28*R$3*$F28+$H28))+IF($K28="да",0,$L28*R$3*$F28+$M28))/$F28</f>
        <v/>
      </c>
      <c r="S28" s="13">
        <f>(MIN(IF($J28="",1E+9,$J28),MAX(IF($I28="",0,$I28),$G28*S$3*$F28+$H28))+IF($K28="да",0,$L28*S$3*$F28+$M28))/$F28</f>
        <v/>
      </c>
      <c r="T28" s="14">
        <f>P28/P$3</f>
        <v/>
      </c>
      <c r="U28" s="14">
        <f>Q28/Q$3</f>
        <v/>
      </c>
      <c r="V28" s="14">
        <f>R28/R$3</f>
        <v/>
      </c>
      <c r="W28" s="14">
        <f>S28/S$3</f>
        <v/>
      </c>
    </row>
    <row r="29">
      <c r="A29" s="15" t="inlineStr">
        <is>
          <t>Direct merchant</t>
        </is>
      </c>
      <c r="B29" s="15" t="inlineStr">
        <is>
          <t>Ticketbud</t>
        </is>
      </c>
      <c r="C29" s="15" t="inlineStr">
        <is>
          <t>США</t>
        </is>
      </c>
      <c r="D29" s="15" t="inlineStr">
        <is>
          <t>Paid events</t>
        </is>
      </c>
      <c r="E29" s="15" t="inlineStr">
        <is>
          <t>USD</t>
        </is>
      </c>
      <c r="F29" s="9">
        <f>INDEX('Курсы'!$B$4:$B$46,MATCH($E29,'Курсы'!$A$4:$A$46,0))</f>
        <v/>
      </c>
      <c r="G29" s="10" t="n">
        <v>0.02</v>
      </c>
      <c r="H29" s="11" t="n">
        <v>0.99</v>
      </c>
      <c r="I29" s="11" t="n"/>
      <c r="J29" s="11" t="n"/>
      <c r="K29" s="12" t="inlineStr">
        <is>
          <t>нет</t>
        </is>
      </c>
      <c r="L29" s="10" t="n">
        <v>0.029</v>
      </c>
      <c r="M29" s="11" t="n">
        <v>0.3</v>
      </c>
      <c r="N29" s="12" t="inlineStr">
        <is>
          <t>покупатель</t>
        </is>
      </c>
      <c r="O29" s="12" t="inlineStr"/>
      <c r="P29" s="13">
        <f>(MIN(IF($J29="",1E+9,$J29),MAX(IF($I29="",0,$I29),$G29*P$3*$F29+$H29))+IF($K29="да",0,$L29*P$3*$F29+$M29))/$F29</f>
        <v/>
      </c>
      <c r="Q29" s="13">
        <f>(MIN(IF($J29="",1E+9,$J29),MAX(IF($I29="",0,$I29),$G29*Q$3*$F29+$H29))+IF($K29="да",0,$L29*Q$3*$F29+$M29))/$F29</f>
        <v/>
      </c>
      <c r="R29" s="13">
        <f>(MIN(IF($J29="",1E+9,$J29),MAX(IF($I29="",0,$I29),$G29*R$3*$F29+$H29))+IF($K29="да",0,$L29*R$3*$F29+$M29))/$F29</f>
        <v/>
      </c>
      <c r="S29" s="13">
        <f>(MIN(IF($J29="",1E+9,$J29),MAX(IF($I29="",0,$I29),$G29*S$3*$F29+$H29))+IF($K29="да",0,$L29*S$3*$F29+$M29))/$F29</f>
        <v/>
      </c>
      <c r="T29" s="14">
        <f>P29/P$3</f>
        <v/>
      </c>
      <c r="U29" s="14">
        <f>Q29/Q$3</f>
        <v/>
      </c>
      <c r="V29" s="14">
        <f>R29/R$3</f>
        <v/>
      </c>
      <c r="W29" s="14">
        <f>S29/S$3</f>
        <v/>
      </c>
    </row>
    <row r="30">
      <c r="A30" s="15" t="inlineStr">
        <is>
          <t>Direct merchant</t>
        </is>
      </c>
      <c r="B30" s="15" t="inlineStr">
        <is>
          <t>BZUCO</t>
        </is>
      </c>
      <c r="C30" s="15" t="inlineStr">
        <is>
          <t>Чехия</t>
        </is>
      </c>
      <c r="D30" s="15" t="inlineStr">
        <is>
          <t>Základní (предоплаченный кредит)</t>
        </is>
      </c>
      <c r="E30" s="15" t="inlineStr">
        <is>
          <t>CZK</t>
        </is>
      </c>
      <c r="F30" s="9">
        <f>INDEX('Курсы'!$B$4:$B$46,MATCH($E30,'Курсы'!$A$4:$A$46,0))</f>
        <v/>
      </c>
      <c r="G30" s="10" t="n">
        <v>0.02</v>
      </c>
      <c r="H30" s="11" t="n">
        <v>0</v>
      </c>
      <c r="I30" s="11" t="n"/>
      <c r="J30" s="11" t="n"/>
      <c r="K30" s="12" t="inlineStr">
        <is>
          <t>нет</t>
        </is>
      </c>
      <c r="L30" s="10" t="n">
        <v>0.015</v>
      </c>
      <c r="M30" s="11" t="n">
        <v>6.5</v>
      </c>
      <c r="N30" s="12" t="inlineStr">
        <is>
          <t>настраивается</t>
        </is>
      </c>
      <c r="O30" s="12" t="inlineStr">
        <is>
          <t>Мин. годовой кредит 10–50 тыс. CZK</t>
        </is>
      </c>
      <c r="P30" s="13">
        <f>(MIN(IF($J30="",1E+9,$J30),MAX(IF($I30="",0,$I30),$G30*P$3*$F30+$H30))+IF($K30="да",0,$L30*P$3*$F30+$M30))/$F30</f>
        <v/>
      </c>
      <c r="Q30" s="13">
        <f>(MIN(IF($J30="",1E+9,$J30),MAX(IF($I30="",0,$I30),$G30*Q$3*$F30+$H30))+IF($K30="да",0,$L30*Q$3*$F30+$M30))/$F30</f>
        <v/>
      </c>
      <c r="R30" s="13">
        <f>(MIN(IF($J30="",1E+9,$J30),MAX(IF($I30="",0,$I30),$G30*R$3*$F30+$H30))+IF($K30="да",0,$L30*R$3*$F30+$M30))/$F30</f>
        <v/>
      </c>
      <c r="S30" s="13">
        <f>(MIN(IF($J30="",1E+9,$J30),MAX(IF($I30="",0,$I30),$G30*S$3*$F30+$H30))+IF($K30="да",0,$L30*S$3*$F30+$M30))/$F30</f>
        <v/>
      </c>
      <c r="T30" s="14">
        <f>P30/P$3</f>
        <v/>
      </c>
      <c r="U30" s="14">
        <f>Q30/Q$3</f>
        <v/>
      </c>
      <c r="V30" s="14">
        <f>R30/R$3</f>
        <v/>
      </c>
      <c r="W30" s="14">
        <f>S30/S$3</f>
        <v/>
      </c>
    </row>
    <row r="31">
      <c r="A31" s="15" t="inlineStr">
        <is>
          <t>Direct merchant</t>
        </is>
      </c>
      <c r="B31" s="15" t="inlineStr">
        <is>
          <t>Paysera Tickets</t>
        </is>
      </c>
      <c r="C31" s="15" t="inlineStr">
        <is>
          <t>Прибалтика</t>
        </is>
      </c>
      <c r="D31" s="15" t="inlineStr">
        <is>
          <t>Platform fee + Paysera Checkout</t>
        </is>
      </c>
      <c r="E31" s="15" t="inlineStr">
        <is>
          <t>EUR</t>
        </is>
      </c>
      <c r="F31" s="9">
        <f>INDEX('Курсы'!$B$4:$B$46,MATCH($E31,'Курсы'!$A$4:$A$46,0))</f>
        <v/>
      </c>
      <c r="G31" s="10" t="n">
        <v>0.02</v>
      </c>
      <c r="H31" s="11" t="n">
        <v>0</v>
      </c>
      <c r="I31" s="11" t="n">
        <v>0.15</v>
      </c>
      <c r="J31" s="11" t="n">
        <v>1</v>
      </c>
      <c r="K31" s="12" t="inlineStr">
        <is>
          <t>нет</t>
        </is>
      </c>
      <c r="L31" s="10" t="n">
        <v>0.008999999999999999</v>
      </c>
      <c r="M31" s="11" t="n">
        <v>0.1</v>
      </c>
      <c r="N31" s="12" t="inlineStr">
        <is>
          <t>—</t>
        </is>
      </c>
      <c r="O31" s="12" t="inlineStr">
        <is>
          <t>Эквайринг Paysera 0,9 % (мин 0,10, макс 0,40) — потолок эквайринга в сценарии не учтён</t>
        </is>
      </c>
      <c r="P31" s="13">
        <f>(MIN(IF($J31="",1E+9,$J31),MAX(IF($I31="",0,$I31),$G31*P$3*$F31+$H31))+IF($K31="да",0,$L31*P$3*$F31+$M31))/$F31</f>
        <v/>
      </c>
      <c r="Q31" s="13">
        <f>(MIN(IF($J31="",1E+9,$J31),MAX(IF($I31="",0,$I31),$G31*Q$3*$F31+$H31))+IF($K31="да",0,$L31*Q$3*$F31+$M31))/$F31</f>
        <v/>
      </c>
      <c r="R31" s="13">
        <f>(MIN(IF($J31="",1E+9,$J31),MAX(IF($I31="",0,$I31),$G31*R$3*$F31+$H31))+IF($K31="да",0,$L31*R$3*$F31+$M31))/$F31</f>
        <v/>
      </c>
      <c r="S31" s="13">
        <f>(MIN(IF($J31="",1E+9,$J31),MAX(IF($I31="",0,$I31),$G31*S$3*$F31+$H31))+IF($K31="да",0,$L31*S$3*$F31+$M31))/$F31</f>
        <v/>
      </c>
      <c r="T31" s="14">
        <f>P31/P$3</f>
        <v/>
      </c>
      <c r="U31" s="14">
        <f>Q31/Q$3</f>
        <v/>
      </c>
      <c r="V31" s="14">
        <f>R31/R$3</f>
        <v/>
      </c>
      <c r="W31" s="14">
        <f>S31/S$3</f>
        <v/>
      </c>
    </row>
    <row r="32">
      <c r="A32" s="15" t="inlineStr">
        <is>
          <t>Direct merchant</t>
        </is>
      </c>
      <c r="B32" s="15" t="inlineStr">
        <is>
          <t>Shownet</t>
        </is>
      </c>
      <c r="C32" s="15" t="inlineStr">
        <is>
          <t>Литва</t>
        </is>
      </c>
      <c r="D32" s="15" t="inlineStr">
        <is>
          <t>System commission</t>
        </is>
      </c>
      <c r="E32" s="15" t="inlineStr">
        <is>
          <t>EUR</t>
        </is>
      </c>
      <c r="F32" s="9">
        <f>INDEX('Курсы'!$B$4:$B$46,MATCH($E32,'Курсы'!$A$4:$A$46,0))</f>
        <v/>
      </c>
      <c r="G32" s="10" t="n">
        <v>0.025</v>
      </c>
      <c r="H32" s="11" t="n">
        <v>0</v>
      </c>
      <c r="I32" s="11" t="n">
        <v>0.06</v>
      </c>
      <c r="J32" s="11" t="n"/>
      <c r="K32" s="12" t="inlineStr">
        <is>
          <t>нет</t>
        </is>
      </c>
      <c r="L32" s="10" t="n">
        <v>0.015</v>
      </c>
      <c r="M32" s="11" t="n">
        <v>0.25</v>
      </c>
      <c r="N32" s="12" t="inlineStr">
        <is>
          <t>—</t>
        </is>
      </c>
      <c r="O32" s="12" t="inlineStr"/>
      <c r="P32" s="13">
        <f>(MIN(IF($J32="",1E+9,$J32),MAX(IF($I32="",0,$I32),$G32*P$3*$F32+$H32))+IF($K32="да",0,$L32*P$3*$F32+$M32))/$F32</f>
        <v/>
      </c>
      <c r="Q32" s="13">
        <f>(MIN(IF($J32="",1E+9,$J32),MAX(IF($I32="",0,$I32),$G32*Q$3*$F32+$H32))+IF($K32="да",0,$L32*Q$3*$F32+$M32))/$F32</f>
        <v/>
      </c>
      <c r="R32" s="13">
        <f>(MIN(IF($J32="",1E+9,$J32),MAX(IF($I32="",0,$I32),$G32*R$3*$F32+$H32))+IF($K32="да",0,$L32*R$3*$F32+$M32))/$F32</f>
        <v/>
      </c>
      <c r="S32" s="13">
        <f>(MIN(IF($J32="",1E+9,$J32),MAX(IF($I32="",0,$I32),$G32*S$3*$F32+$H32))+IF($K32="да",0,$L32*S$3*$F32+$M32))/$F32</f>
        <v/>
      </c>
      <c r="T32" s="14">
        <f>P32/P$3</f>
        <v/>
      </c>
      <c r="U32" s="14">
        <f>Q32/Q$3</f>
        <v/>
      </c>
      <c r="V32" s="14">
        <f>R32/R$3</f>
        <v/>
      </c>
      <c r="W32" s="14">
        <f>S32/S$3</f>
        <v/>
      </c>
    </row>
    <row r="33">
      <c r="A33" s="15" t="inlineStr">
        <is>
          <t>Direct merchant</t>
        </is>
      </c>
      <c r="B33" s="15" t="inlineStr">
        <is>
          <t>eTichet.ro</t>
        </is>
      </c>
      <c r="C33" s="15" t="inlineStr">
        <is>
          <t>Румыния</t>
        </is>
      </c>
      <c r="D33" s="15" t="inlineStr">
        <is>
          <t>Standard</t>
        </is>
      </c>
      <c r="E33" s="15" t="inlineStr">
        <is>
          <t>RON</t>
        </is>
      </c>
      <c r="F33" s="9">
        <f>INDEX('Курсы'!$B$4:$B$46,MATCH($E33,'Курсы'!$A$4:$A$46,0))</f>
        <v/>
      </c>
      <c r="G33" s="10" t="n">
        <v>0.05</v>
      </c>
      <c r="H33" s="11" t="n">
        <v>0</v>
      </c>
      <c r="I33" s="11" t="n"/>
      <c r="J33" s="11" t="n"/>
      <c r="K33" s="12" t="inlineStr">
        <is>
          <t>нет</t>
        </is>
      </c>
      <c r="L33" s="10" t="n">
        <v>0.015</v>
      </c>
      <c r="M33" s="11" t="n">
        <v>1.34</v>
      </c>
      <c r="N33" s="12" t="inlineStr">
        <is>
          <t>организатор</t>
        </is>
      </c>
      <c r="O33" s="12" t="inlineStr"/>
      <c r="P33" s="13">
        <f>(MIN(IF($J33="",1E+9,$J33),MAX(IF($I33="",0,$I33),$G33*P$3*$F33+$H33))+IF($K33="да",0,$L33*P$3*$F33+$M33))/$F33</f>
        <v/>
      </c>
      <c r="Q33" s="13">
        <f>(MIN(IF($J33="",1E+9,$J33),MAX(IF($I33="",0,$I33),$G33*Q$3*$F33+$H33))+IF($K33="да",0,$L33*Q$3*$F33+$M33))/$F33</f>
        <v/>
      </c>
      <c r="R33" s="13">
        <f>(MIN(IF($J33="",1E+9,$J33),MAX(IF($I33="",0,$I33),$G33*R$3*$F33+$H33))+IF($K33="да",0,$L33*R$3*$F33+$M33))/$F33</f>
        <v/>
      </c>
      <c r="S33" s="13">
        <f>(MIN(IF($J33="",1E+9,$J33),MAX(IF($I33="",0,$I33),$G33*S$3*$F33+$H33))+IF($K33="да",0,$L33*S$3*$F33+$M33))/$F33</f>
        <v/>
      </c>
      <c r="T33" s="14">
        <f>P33/P$3</f>
        <v/>
      </c>
      <c r="U33" s="14">
        <f>Q33/Q$3</f>
        <v/>
      </c>
      <c r="V33" s="14">
        <f>R33/R$3</f>
        <v/>
      </c>
      <c r="W33" s="14">
        <f>S33/S$3</f>
        <v/>
      </c>
    </row>
    <row r="34">
      <c r="A34" s="15" t="inlineStr">
        <is>
          <t>Direct merchant</t>
        </is>
      </c>
      <c r="B34" s="15" t="inlineStr">
        <is>
          <t>RegToEvent</t>
        </is>
      </c>
      <c r="C34" s="15" t="inlineStr">
        <is>
          <t>Украина / межд.</t>
        </is>
      </c>
      <c r="D34" s="15" t="inlineStr">
        <is>
          <t>Small events</t>
        </is>
      </c>
      <c r="E34" s="15" t="inlineStr">
        <is>
          <t>EUR</t>
        </is>
      </c>
      <c r="F34" s="9">
        <f>INDEX('Курсы'!$B$4:$B$46,MATCH($E34,'Курсы'!$A$4:$A$46,0))</f>
        <v/>
      </c>
      <c r="G34" s="10" t="n">
        <v>0.029</v>
      </c>
      <c r="H34" s="11" t="n">
        <v>0.39</v>
      </c>
      <c r="I34" s="11" t="n"/>
      <c r="J34" s="11" t="n"/>
      <c r="K34" s="12" t="inlineStr">
        <is>
          <t>нет</t>
        </is>
      </c>
      <c r="L34" s="10" t="n">
        <v>0.015</v>
      </c>
      <c r="M34" s="11" t="n">
        <v>0.25</v>
      </c>
      <c r="N34" s="12" t="inlineStr">
        <is>
          <t>настраивается</t>
        </is>
      </c>
      <c r="O34" s="12" t="inlineStr"/>
      <c r="P34" s="13">
        <f>(MIN(IF($J34="",1E+9,$J34),MAX(IF($I34="",0,$I34),$G34*P$3*$F34+$H34))+IF($K34="да",0,$L34*P$3*$F34+$M34))/$F34</f>
        <v/>
      </c>
      <c r="Q34" s="13">
        <f>(MIN(IF($J34="",1E+9,$J34),MAX(IF($I34="",0,$I34),$G34*Q$3*$F34+$H34))+IF($K34="да",0,$L34*Q$3*$F34+$M34))/$F34</f>
        <v/>
      </c>
      <c r="R34" s="13">
        <f>(MIN(IF($J34="",1E+9,$J34),MAX(IF($I34="",0,$I34),$G34*R$3*$F34+$H34))+IF($K34="да",0,$L34*R$3*$F34+$M34))/$F34</f>
        <v/>
      </c>
      <c r="S34" s="13">
        <f>(MIN(IF($J34="",1E+9,$J34),MAX(IF($I34="",0,$I34),$G34*S$3*$F34+$H34))+IF($K34="да",0,$L34*S$3*$F34+$M34))/$F34</f>
        <v/>
      </c>
      <c r="T34" s="14">
        <f>P34/P$3</f>
        <v/>
      </c>
      <c r="U34" s="14">
        <f>Q34/Q$3</f>
        <v/>
      </c>
      <c r="V34" s="14">
        <f>R34/R$3</f>
        <v/>
      </c>
      <c r="W34" s="14">
        <f>S34/S$3</f>
        <v/>
      </c>
    </row>
    <row r="35">
      <c r="A35" s="15" t="inlineStr">
        <is>
          <t>Direct merchant</t>
        </is>
      </c>
      <c r="B35" s="15" t="inlineStr">
        <is>
          <t>RegToEvent</t>
        </is>
      </c>
      <c r="C35" s="15" t="inlineStr">
        <is>
          <t>Украина / межд.</t>
        </is>
      </c>
      <c r="D35" s="15" t="inlineStr">
        <is>
          <t>С местами (нижняя ставка)</t>
        </is>
      </c>
      <c r="E35" s="15" t="inlineStr">
        <is>
          <t>EUR</t>
        </is>
      </c>
      <c r="F35" s="9">
        <f>INDEX('Курсы'!$B$4:$B$46,MATCH($E35,'Курсы'!$A$4:$A$46,0))</f>
        <v/>
      </c>
      <c r="G35" s="10" t="n">
        <v>0.045</v>
      </c>
      <c r="H35" s="11" t="n">
        <v>0.3</v>
      </c>
      <c r="I35" s="11" t="n"/>
      <c r="J35" s="11" t="n"/>
      <c r="K35" s="12" t="inlineStr">
        <is>
          <t>нет</t>
        </is>
      </c>
      <c r="L35" s="10" t="n">
        <v>0.015</v>
      </c>
      <c r="M35" s="11" t="n">
        <v>0.25</v>
      </c>
      <c r="N35" s="12" t="inlineStr">
        <is>
          <t>настраивается</t>
        </is>
      </c>
      <c r="O35" s="12" t="inlineStr"/>
      <c r="P35" s="13">
        <f>(MIN(IF($J35="",1E+9,$J35),MAX(IF($I35="",0,$I35),$G35*P$3*$F35+$H35))+IF($K35="да",0,$L35*P$3*$F35+$M35))/$F35</f>
        <v/>
      </c>
      <c r="Q35" s="13">
        <f>(MIN(IF($J35="",1E+9,$J35),MAX(IF($I35="",0,$I35),$G35*Q$3*$F35+$H35))+IF($K35="да",0,$L35*Q$3*$F35+$M35))/$F35</f>
        <v/>
      </c>
      <c r="R35" s="13">
        <f>(MIN(IF($J35="",1E+9,$J35),MAX(IF($I35="",0,$I35),$G35*R$3*$F35+$H35))+IF($K35="да",0,$L35*R$3*$F35+$M35))/$F35</f>
        <v/>
      </c>
      <c r="S35" s="13">
        <f>(MIN(IF($J35="",1E+9,$J35),MAX(IF($I35="",0,$I35),$G35*S$3*$F35+$H35))+IF($K35="да",0,$L35*S$3*$F35+$M35))/$F35</f>
        <v/>
      </c>
      <c r="T35" s="14">
        <f>P35/P$3</f>
        <v/>
      </c>
      <c r="U35" s="14">
        <f>Q35/Q$3</f>
        <v/>
      </c>
      <c r="V35" s="14">
        <f>R35/R$3</f>
        <v/>
      </c>
      <c r="W35" s="14">
        <f>S35/S$3</f>
        <v/>
      </c>
    </row>
    <row r="36">
      <c r="A36" s="15" t="inlineStr">
        <is>
          <t>Direct merchant</t>
        </is>
      </c>
      <c r="B36" s="15" t="inlineStr">
        <is>
          <t>Event.net.ua</t>
        </is>
      </c>
      <c r="C36" s="15" t="inlineStr">
        <is>
          <t>Украина</t>
        </is>
      </c>
      <c r="D36" s="15" t="inlineStr">
        <is>
          <t>Без мест</t>
        </is>
      </c>
      <c r="E36" s="15" t="inlineStr">
        <is>
          <t>UAH</t>
        </is>
      </c>
      <c r="F36" s="9">
        <f>INDEX('Курсы'!$B$4:$B$46,MATCH($E36,'Курсы'!$A$4:$A$46,0))</f>
        <v/>
      </c>
      <c r="G36" s="10" t="n">
        <v>0</v>
      </c>
      <c r="H36" s="11" t="n">
        <v>8</v>
      </c>
      <c r="I36" s="11" t="n"/>
      <c r="J36" s="11" t="n"/>
      <c r="K36" s="12" t="inlineStr">
        <is>
          <t>нет</t>
        </is>
      </c>
      <c r="L36" s="10" t="n">
        <v>0.013</v>
      </c>
      <c r="M36" s="11" t="n">
        <v>0</v>
      </c>
      <c r="N36" s="12" t="inlineStr">
        <is>
          <t>организатор</t>
        </is>
      </c>
      <c r="O36" s="12" t="inlineStr">
        <is>
          <t>Эквайринг monobank 1,3 %</t>
        </is>
      </c>
      <c r="P36" s="13">
        <f>(MIN(IF($J36="",1E+9,$J36),MAX(IF($I36="",0,$I36),$G36*P$3*$F36+$H36))+IF($K36="да",0,$L36*P$3*$F36+$M36))/$F36</f>
        <v/>
      </c>
      <c r="Q36" s="13">
        <f>(MIN(IF($J36="",1E+9,$J36),MAX(IF($I36="",0,$I36),$G36*Q$3*$F36+$H36))+IF($K36="да",0,$L36*Q$3*$F36+$M36))/$F36</f>
        <v/>
      </c>
      <c r="R36" s="13">
        <f>(MIN(IF($J36="",1E+9,$J36),MAX(IF($I36="",0,$I36),$G36*R$3*$F36+$H36))+IF($K36="да",0,$L36*R$3*$F36+$M36))/$F36</f>
        <v/>
      </c>
      <c r="S36" s="13">
        <f>(MIN(IF($J36="",1E+9,$J36),MAX(IF($I36="",0,$I36),$G36*S$3*$F36+$H36))+IF($K36="да",0,$L36*S$3*$F36+$M36))/$F36</f>
        <v/>
      </c>
      <c r="T36" s="14">
        <f>P36/P$3</f>
        <v/>
      </c>
      <c r="U36" s="14">
        <f>Q36/Q$3</f>
        <v/>
      </c>
      <c r="V36" s="14">
        <f>R36/R$3</f>
        <v/>
      </c>
      <c r="W36" s="14">
        <f>S36/S$3</f>
        <v/>
      </c>
    </row>
    <row r="37">
      <c r="A37" s="15" t="inlineStr">
        <is>
          <t>Direct merchant</t>
        </is>
      </c>
      <c r="B37" s="15" t="inlineStr">
        <is>
          <t>Tikzet</t>
        </is>
      </c>
      <c r="C37" s="15" t="inlineStr">
        <is>
          <t>Бразилия</t>
        </is>
      </c>
      <c r="D37" s="15" t="inlineStr">
        <is>
          <t>Предоплата 300 билетов</t>
        </is>
      </c>
      <c r="E37" s="15" t="inlineStr">
        <is>
          <t>BRL</t>
        </is>
      </c>
      <c r="F37" s="9">
        <f>INDEX('Курсы'!$B$4:$B$46,MATCH($E37,'Курсы'!$A$4:$A$46,0))</f>
        <v/>
      </c>
      <c r="G37" s="10" t="n">
        <v>0</v>
      </c>
      <c r="H37" s="11" t="n">
        <v>1.4</v>
      </c>
      <c r="I37" s="11" t="n"/>
      <c r="J37" s="11" t="n"/>
      <c r="K37" s="12" t="inlineStr">
        <is>
          <t>нет</t>
        </is>
      </c>
      <c r="L37" s="10" t="n">
        <v>0.0498</v>
      </c>
      <c r="M37" s="11" t="n">
        <v>0</v>
      </c>
      <c r="N37" s="12" t="inlineStr">
        <is>
          <t>организатор</t>
        </is>
      </c>
      <c r="O37" s="12" t="inlineStr">
        <is>
          <t>Эквайринг Mercado Pago BR 4,98 % (мгновенный)</t>
        </is>
      </c>
      <c r="P37" s="13">
        <f>(MIN(IF($J37="",1E+9,$J37),MAX(IF($I37="",0,$I37),$G37*P$3*$F37+$H37))+IF($K37="да",0,$L37*P$3*$F37+$M37))/$F37</f>
        <v/>
      </c>
      <c r="Q37" s="13">
        <f>(MIN(IF($J37="",1E+9,$J37),MAX(IF($I37="",0,$I37),$G37*Q$3*$F37+$H37))+IF($K37="да",0,$L37*Q$3*$F37+$M37))/$F37</f>
        <v/>
      </c>
      <c r="R37" s="13">
        <f>(MIN(IF($J37="",1E+9,$J37),MAX(IF($I37="",0,$I37),$G37*R$3*$F37+$H37))+IF($K37="да",0,$L37*R$3*$F37+$M37))/$F37</f>
        <v/>
      </c>
      <c r="S37" s="13">
        <f>(MIN(IF($J37="",1E+9,$J37),MAX(IF($I37="",0,$I37),$G37*S$3*$F37+$H37))+IF($K37="да",0,$L37*S$3*$F37+$M37))/$F37</f>
        <v/>
      </c>
      <c r="T37" s="14">
        <f>P37/P$3</f>
        <v/>
      </c>
      <c r="U37" s="14">
        <f>Q37/Q$3</f>
        <v/>
      </c>
      <c r="V37" s="14">
        <f>R37/R$3</f>
        <v/>
      </c>
      <c r="W37" s="14">
        <f>S37/S$3</f>
        <v/>
      </c>
    </row>
    <row r="38">
      <c r="A38" s="15" t="inlineStr">
        <is>
          <t>Direct merchant</t>
        </is>
      </c>
      <c r="B38" s="15" t="inlineStr">
        <is>
          <t>Tikzet</t>
        </is>
      </c>
      <c r="C38" s="15" t="inlineStr">
        <is>
          <t>Мексика</t>
        </is>
      </c>
      <c r="D38" s="15" t="inlineStr">
        <is>
          <t>Предоплата 300 билетов</t>
        </is>
      </c>
      <c r="E38" s="15" t="inlineStr">
        <is>
          <t>MXN</t>
        </is>
      </c>
      <c r="F38" s="9">
        <f>INDEX('Курсы'!$B$4:$B$46,MATCH($E38,'Курсы'!$A$4:$A$46,0))</f>
        <v/>
      </c>
      <c r="G38" s="10" t="n">
        <v>0</v>
      </c>
      <c r="H38" s="11" t="n">
        <v>4.8</v>
      </c>
      <c r="I38" s="11" t="n"/>
      <c r="J38" s="11" t="n"/>
      <c r="K38" s="12" t="inlineStr">
        <is>
          <t>нет</t>
        </is>
      </c>
      <c r="L38" s="10" t="n">
        <v>0.0405</v>
      </c>
      <c r="M38" s="11" t="n">
        <v>0</v>
      </c>
      <c r="N38" s="12" t="inlineStr">
        <is>
          <t>организатор</t>
        </is>
      </c>
      <c r="O38" s="12" t="inlineStr">
        <is>
          <t>Mercado Pago MX 3,49 % + IVA</t>
        </is>
      </c>
      <c r="P38" s="13">
        <f>(MIN(IF($J38="",1E+9,$J38),MAX(IF($I38="",0,$I38),$G38*P$3*$F38+$H38))+IF($K38="да",0,$L38*P$3*$F38+$M38))/$F38</f>
        <v/>
      </c>
      <c r="Q38" s="13">
        <f>(MIN(IF($J38="",1E+9,$J38),MAX(IF($I38="",0,$I38),$G38*Q$3*$F38+$H38))+IF($K38="да",0,$L38*Q$3*$F38+$M38))/$F38</f>
        <v/>
      </c>
      <c r="R38" s="13">
        <f>(MIN(IF($J38="",1E+9,$J38),MAX(IF($I38="",0,$I38),$G38*R$3*$F38+$H38))+IF($K38="да",0,$L38*R$3*$F38+$M38))/$F38</f>
        <v/>
      </c>
      <c r="S38" s="13">
        <f>(MIN(IF($J38="",1E+9,$J38),MAX(IF($I38="",0,$I38),$G38*S$3*$F38+$H38))+IF($K38="да",0,$L38*S$3*$F38+$M38))/$F38</f>
        <v/>
      </c>
      <c r="T38" s="14">
        <f>P38/P$3</f>
        <v/>
      </c>
      <c r="U38" s="14">
        <f>Q38/Q$3</f>
        <v/>
      </c>
      <c r="V38" s="14">
        <f>R38/R$3</f>
        <v/>
      </c>
      <c r="W38" s="14">
        <f>S38/S$3</f>
        <v/>
      </c>
    </row>
    <row r="39">
      <c r="A39" s="15" t="inlineStr">
        <is>
          <t>Direct merchant</t>
        </is>
      </c>
      <c r="B39" s="15" t="inlineStr">
        <is>
          <t>Enter.ar</t>
        </is>
      </c>
      <c r="C39" s="15" t="inlineStr">
        <is>
          <t>Аргентина</t>
        </is>
      </c>
      <c r="D39" s="15" t="inlineStr">
        <is>
          <t>Standard</t>
        </is>
      </c>
      <c r="E39" s="15" t="inlineStr">
        <is>
          <t>ARS</t>
        </is>
      </c>
      <c r="F39" s="9">
        <f>INDEX('Курсы'!$B$4:$B$46,MATCH($E39,'Курсы'!$A$4:$A$46,0))</f>
        <v/>
      </c>
      <c r="G39" s="10" t="n">
        <v>0.02</v>
      </c>
      <c r="H39" s="11" t="n">
        <v>0</v>
      </c>
      <c r="I39" s="11" t="n"/>
      <c r="J39" s="11" t="n"/>
      <c r="K39" s="12" t="inlineStr">
        <is>
          <t>нет</t>
        </is>
      </c>
      <c r="L39" s="10" t="n">
        <v>0.073</v>
      </c>
      <c r="M39" s="11" t="n">
        <v>0</v>
      </c>
      <c r="N39" s="12" t="inlineStr">
        <is>
          <t>организатор</t>
        </is>
      </c>
      <c r="O39" s="12" t="inlineStr">
        <is>
          <t>Mercado Pago AR ~6,29 % + IVA (мгновенно), неточно</t>
        </is>
      </c>
      <c r="P39" s="13">
        <f>(MIN(IF($J39="",1E+9,$J39),MAX(IF($I39="",0,$I39),$G39*P$3*$F39+$H39))+IF($K39="да",0,$L39*P$3*$F39+$M39))/$F39</f>
        <v/>
      </c>
      <c r="Q39" s="13">
        <f>(MIN(IF($J39="",1E+9,$J39),MAX(IF($I39="",0,$I39),$G39*Q$3*$F39+$H39))+IF($K39="да",0,$L39*Q$3*$F39+$M39))/$F39</f>
        <v/>
      </c>
      <c r="R39" s="13">
        <f>(MIN(IF($J39="",1E+9,$J39),MAX(IF($I39="",0,$I39),$G39*R$3*$F39+$H39))+IF($K39="да",0,$L39*R$3*$F39+$M39))/$F39</f>
        <v/>
      </c>
      <c r="S39" s="13">
        <f>(MIN(IF($J39="",1E+9,$J39),MAX(IF($I39="",0,$I39),$G39*S$3*$F39+$H39))+IF($K39="да",0,$L39*S$3*$F39+$M39))/$F39</f>
        <v/>
      </c>
      <c r="T39" s="14">
        <f>P39/P$3</f>
        <v/>
      </c>
      <c r="U39" s="14">
        <f>Q39/Q$3</f>
        <v/>
      </c>
      <c r="V39" s="14">
        <f>R39/R$3</f>
        <v/>
      </c>
      <c r="W39" s="14">
        <f>S39/S$3</f>
        <v/>
      </c>
    </row>
    <row r="40">
      <c r="A40" s="15" t="inlineStr">
        <is>
          <t>Direct merchant</t>
        </is>
      </c>
      <c r="B40" s="15" t="inlineStr">
        <is>
          <t>MaunaOne</t>
        </is>
      </c>
      <c r="C40" s="15" t="inlineStr">
        <is>
          <t>Мексика</t>
        </is>
      </c>
      <c r="D40" s="15" t="inlineStr">
        <is>
          <t>Inicia (бесплатный)</t>
        </is>
      </c>
      <c r="E40" s="15" t="inlineStr">
        <is>
          <t>MXN</t>
        </is>
      </c>
      <c r="F40" s="9">
        <f>INDEX('Курсы'!$B$4:$B$46,MATCH($E40,'Курсы'!$A$4:$A$46,0))</f>
        <v/>
      </c>
      <c r="G40" s="10" t="n">
        <v>0.05</v>
      </c>
      <c r="H40" s="11" t="n">
        <v>0</v>
      </c>
      <c r="I40" s="11" t="n"/>
      <c r="J40" s="11" t="n"/>
      <c r="K40" s="12" t="inlineStr">
        <is>
          <t>нет</t>
        </is>
      </c>
      <c r="L40" s="10" t="n">
        <v>0.042</v>
      </c>
      <c r="M40" s="11" t="n">
        <v>3.48</v>
      </c>
      <c r="N40" s="12" t="inlineStr">
        <is>
          <t>настраивается</t>
        </is>
      </c>
      <c r="O40" s="12" t="inlineStr">
        <is>
          <t>Stripe MX 3,6 % + 3 MXN + IVA</t>
        </is>
      </c>
      <c r="P40" s="13">
        <f>(MIN(IF($J40="",1E+9,$J40),MAX(IF($I40="",0,$I40),$G40*P$3*$F40+$H40))+IF($K40="да",0,$L40*P$3*$F40+$M40))/$F40</f>
        <v/>
      </c>
      <c r="Q40" s="13">
        <f>(MIN(IF($J40="",1E+9,$J40),MAX(IF($I40="",0,$I40),$G40*Q$3*$F40+$H40))+IF($K40="да",0,$L40*Q$3*$F40+$M40))/$F40</f>
        <v/>
      </c>
      <c r="R40" s="13">
        <f>(MIN(IF($J40="",1E+9,$J40),MAX(IF($I40="",0,$I40),$G40*R$3*$F40+$H40))+IF($K40="да",0,$L40*R$3*$F40+$M40))/$F40</f>
        <v/>
      </c>
      <c r="S40" s="13">
        <f>(MIN(IF($J40="",1E+9,$J40),MAX(IF($I40="",0,$I40),$G40*S$3*$F40+$H40))+IF($K40="да",0,$L40*S$3*$F40+$M40))/$F40</f>
        <v/>
      </c>
      <c r="T40" s="14">
        <f>P40/P$3</f>
        <v/>
      </c>
      <c r="U40" s="14">
        <f>Q40/Q$3</f>
        <v/>
      </c>
      <c r="V40" s="14">
        <f>R40/R$3</f>
        <v/>
      </c>
      <c r="W40" s="14">
        <f>S40/S$3</f>
        <v/>
      </c>
    </row>
    <row r="41">
      <c r="A41" s="15" t="inlineStr">
        <is>
          <t>Direct merchant</t>
        </is>
      </c>
      <c r="B41" s="15" t="inlineStr">
        <is>
          <t>Soundtix</t>
        </is>
      </c>
      <c r="C41" s="15" t="inlineStr">
        <is>
          <t>Испания</t>
        </is>
      </c>
      <c r="D41" s="15" t="inlineStr">
        <is>
          <t>Standard (билеты до €40)</t>
        </is>
      </c>
      <c r="E41" s="15" t="inlineStr">
        <is>
          <t>EUR</t>
        </is>
      </c>
      <c r="F41" s="9">
        <f>INDEX('Курсы'!$B$4:$B$46,MATCH($E41,'Курсы'!$A$4:$A$46,0))</f>
        <v/>
      </c>
      <c r="G41" s="10" t="n">
        <v>0.1</v>
      </c>
      <c r="H41" s="11" t="n">
        <v>0</v>
      </c>
      <c r="I41" s="11" t="n"/>
      <c r="J41" s="11" t="n"/>
      <c r="K41" s="12" t="inlineStr">
        <is>
          <t>да</t>
        </is>
      </c>
      <c r="L41" s="10" t="n">
        <v>0</v>
      </c>
      <c r="M41" s="11" t="n">
        <v>0</v>
      </c>
      <c r="N41" s="12" t="inlineStr">
        <is>
          <t>покупатель</t>
        </is>
      </c>
      <c r="O41" s="12" t="inlineStr">
        <is>
          <t>Stripe Connect; цифры на сайте противоречат друг другу</t>
        </is>
      </c>
      <c r="P41" s="13">
        <f>(MIN(IF($J41="",1E+9,$J41),MAX(IF($I41="",0,$I41),$G41*P$3*$F41+$H41))+IF($K41="да",0,$L41*P$3*$F41+$M41))/$F41</f>
        <v/>
      </c>
      <c r="Q41" s="13">
        <f>(MIN(IF($J41="",1E+9,$J41),MAX(IF($I41="",0,$I41),$G41*Q$3*$F41+$H41))+IF($K41="да",0,$L41*Q$3*$F41+$M41))/$F41</f>
        <v/>
      </c>
      <c r="R41" s="13">
        <f>(MIN(IF($J41="",1E+9,$J41),MAX(IF($I41="",0,$I41),$G41*R$3*$F41+$H41))+IF($K41="да",0,$L41*R$3*$F41+$M41))/$F41</f>
        <v/>
      </c>
      <c r="S41" s="13">
        <f>(MIN(IF($J41="",1E+9,$J41),MAX(IF($I41="",0,$I41),$G41*S$3*$F41+$H41))+IF($K41="да",0,$L41*S$3*$F41+$M41))/$F41</f>
        <v/>
      </c>
      <c r="T41" s="14">
        <f>P41/P$3</f>
        <v/>
      </c>
      <c r="U41" s="14">
        <f>Q41/Q$3</f>
        <v/>
      </c>
      <c r="V41" s="14">
        <f>R41/R$3</f>
        <v/>
      </c>
      <c r="W41" s="14">
        <f>S41/S$3</f>
        <v/>
      </c>
    </row>
    <row r="42">
      <c r="A42" s="15" t="inlineStr">
        <is>
          <t>Оба (показан direct)</t>
        </is>
      </c>
      <c r="B42" s="15" t="inlineStr">
        <is>
          <t>Cooltix</t>
        </is>
      </c>
      <c r="C42" s="15" t="inlineStr">
        <is>
          <t>ЕС (кроме HU)</t>
        </is>
      </c>
      <c r="D42" s="15" t="inlineStr">
        <is>
          <t>Online</t>
        </is>
      </c>
      <c r="E42" s="15" t="inlineStr">
        <is>
          <t>EUR</t>
        </is>
      </c>
      <c r="F42" s="9">
        <f>INDEX('Курсы'!$B$4:$B$46,MATCH($E42,'Курсы'!$A$4:$A$46,0))</f>
        <v/>
      </c>
      <c r="G42" s="10" t="n">
        <v>0.025</v>
      </c>
      <c r="H42" s="11" t="n">
        <v>0.25</v>
      </c>
      <c r="I42" s="11" t="n"/>
      <c r="J42" s="11" t="n"/>
      <c r="K42" s="12" t="inlineStr">
        <is>
          <t>нет</t>
        </is>
      </c>
      <c r="L42" s="10" t="n">
        <v>0.015</v>
      </c>
      <c r="M42" s="11" t="n">
        <v>0.25</v>
      </c>
      <c r="N42" s="12" t="inlineStr">
        <is>
          <t>покупатель (сбор до 10 %)</t>
        </is>
      </c>
      <c r="O42" s="12" t="inlineStr"/>
      <c r="P42" s="13">
        <f>(MIN(IF($J42="",1E+9,$J42),MAX(IF($I42="",0,$I42),$G42*P$3*$F42+$H42))+IF($K42="да",0,$L42*P$3*$F42+$M42))/$F42</f>
        <v/>
      </c>
      <c r="Q42" s="13">
        <f>(MIN(IF($J42="",1E+9,$J42),MAX(IF($I42="",0,$I42),$G42*Q$3*$F42+$H42))+IF($K42="да",0,$L42*Q$3*$F42+$M42))/$F42</f>
        <v/>
      </c>
      <c r="R42" s="13">
        <f>(MIN(IF($J42="",1E+9,$J42),MAX(IF($I42="",0,$I42),$G42*R$3*$F42+$H42))+IF($K42="да",0,$L42*R$3*$F42+$M42))/$F42</f>
        <v/>
      </c>
      <c r="S42" s="13">
        <f>(MIN(IF($J42="",1E+9,$J42),MAX(IF($I42="",0,$I42),$G42*S$3*$F42+$H42))+IF($K42="да",0,$L42*S$3*$F42+$M42))/$F42</f>
        <v/>
      </c>
      <c r="T42" s="14">
        <f>P42/P$3</f>
        <v/>
      </c>
      <c r="U42" s="14">
        <f>Q42/Q$3</f>
        <v/>
      </c>
      <c r="V42" s="14">
        <f>R42/R$3</f>
        <v/>
      </c>
      <c r="W42" s="14">
        <f>S42/S$3</f>
        <v/>
      </c>
    </row>
    <row r="43">
      <c r="A43" s="15" t="inlineStr">
        <is>
          <t>Оба (показан direct)</t>
        </is>
      </c>
      <c r="B43" s="15" t="inlineStr">
        <is>
          <t>Cooltix</t>
        </is>
      </c>
      <c r="C43" s="15" t="inlineStr">
        <is>
          <t>ЕС (кроме HU)</t>
        </is>
      </c>
      <c r="D43" s="15" t="inlineStr">
        <is>
          <t>Seated</t>
        </is>
      </c>
      <c r="E43" s="15" t="inlineStr">
        <is>
          <t>EUR</t>
        </is>
      </c>
      <c r="F43" s="9">
        <f>INDEX('Курсы'!$B$4:$B$46,MATCH($E43,'Курсы'!$A$4:$A$46,0))</f>
        <v/>
      </c>
      <c r="G43" s="10" t="n">
        <v>0.03</v>
      </c>
      <c r="H43" s="11" t="n">
        <v>0.5</v>
      </c>
      <c r="I43" s="11" t="n"/>
      <c r="J43" s="11" t="n"/>
      <c r="K43" s="12" t="inlineStr">
        <is>
          <t>нет</t>
        </is>
      </c>
      <c r="L43" s="10" t="n">
        <v>0.015</v>
      </c>
      <c r="M43" s="11" t="n">
        <v>0.25</v>
      </c>
      <c r="N43" s="12" t="inlineStr">
        <is>
          <t>покупатель</t>
        </is>
      </c>
      <c r="O43" s="12" t="inlineStr"/>
      <c r="P43" s="13">
        <f>(MIN(IF($J43="",1E+9,$J43),MAX(IF($I43="",0,$I43),$G43*P$3*$F43+$H43))+IF($K43="да",0,$L43*P$3*$F43+$M43))/$F43</f>
        <v/>
      </c>
      <c r="Q43" s="13">
        <f>(MIN(IF($J43="",1E+9,$J43),MAX(IF($I43="",0,$I43),$G43*Q$3*$F43+$H43))+IF($K43="да",0,$L43*Q$3*$F43+$M43))/$F43</f>
        <v/>
      </c>
      <c r="R43" s="13">
        <f>(MIN(IF($J43="",1E+9,$J43),MAX(IF($I43="",0,$I43),$G43*R$3*$F43+$H43))+IF($K43="да",0,$L43*R$3*$F43+$M43))/$F43</f>
        <v/>
      </c>
      <c r="S43" s="13">
        <f>(MIN(IF($J43="",1E+9,$J43),MAX(IF($I43="",0,$I43),$G43*S$3*$F43+$H43))+IF($K43="да",0,$L43*S$3*$F43+$M43))/$F43</f>
        <v/>
      </c>
      <c r="T43" s="14">
        <f>P43/P$3</f>
        <v/>
      </c>
      <c r="U43" s="14">
        <f>Q43/Q$3</f>
        <v/>
      </c>
      <c r="V43" s="14">
        <f>R43/R$3</f>
        <v/>
      </c>
      <c r="W43" s="14">
        <f>S43/S$3</f>
        <v/>
      </c>
    </row>
    <row r="44">
      <c r="A44" s="15" t="inlineStr">
        <is>
          <t>Оба (показан direct)</t>
        </is>
      </c>
      <c r="B44" s="15" t="inlineStr">
        <is>
          <t>Evenea</t>
        </is>
      </c>
      <c r="C44" s="15" t="inlineStr">
        <is>
          <t>Польша</t>
        </is>
      </c>
      <c r="D44" s="15" t="inlineStr">
        <is>
          <t>Commission</t>
        </is>
      </c>
      <c r="E44" s="15" t="inlineStr">
        <is>
          <t>PLN</t>
        </is>
      </c>
      <c r="F44" s="9">
        <f>INDEX('Курсы'!$B$4:$B$46,MATCH($E44,'Курсы'!$A$4:$A$46,0))</f>
        <v/>
      </c>
      <c r="G44" s="10" t="n">
        <v>0.029</v>
      </c>
      <c r="H44" s="11" t="n">
        <v>1</v>
      </c>
      <c r="I44" s="11" t="n"/>
      <c r="J44" s="11" t="n"/>
      <c r="K44" s="12" t="inlineStr">
        <is>
          <t>нет</t>
        </is>
      </c>
      <c r="L44" s="10" t="n">
        <v>0.015</v>
      </c>
      <c r="M44" s="11" t="n">
        <v>1</v>
      </c>
      <c r="N44" s="12" t="inlineStr">
        <is>
          <t>—</t>
        </is>
      </c>
      <c r="O44" s="12" t="inlineStr"/>
      <c r="P44" s="13">
        <f>(MIN(IF($J44="",1E+9,$J44),MAX(IF($I44="",0,$I44),$G44*P$3*$F44+$H44))+IF($K44="да",0,$L44*P$3*$F44+$M44))/$F44</f>
        <v/>
      </c>
      <c r="Q44" s="13">
        <f>(MIN(IF($J44="",1E+9,$J44),MAX(IF($I44="",0,$I44),$G44*Q$3*$F44+$H44))+IF($K44="да",0,$L44*Q$3*$F44+$M44))/$F44</f>
        <v/>
      </c>
      <c r="R44" s="13">
        <f>(MIN(IF($J44="",1E+9,$J44),MAX(IF($I44="",0,$I44),$G44*R$3*$F44+$H44))+IF($K44="да",0,$L44*R$3*$F44+$M44))/$F44</f>
        <v/>
      </c>
      <c r="S44" s="13">
        <f>(MIN(IF($J44="",1E+9,$J44),MAX(IF($I44="",0,$I44),$G44*S$3*$F44+$H44))+IF($K44="да",0,$L44*S$3*$F44+$M44))/$F44</f>
        <v/>
      </c>
      <c r="T44" s="14">
        <f>P44/P$3</f>
        <v/>
      </c>
      <c r="U44" s="14">
        <f>Q44/Q$3</f>
        <v/>
      </c>
      <c r="V44" s="14">
        <f>R44/R$3</f>
        <v/>
      </c>
      <c r="W44" s="14">
        <f>S44/S$3</f>
        <v/>
      </c>
    </row>
    <row r="45">
      <c r="A45" s="16" t="inlineStr">
        <is>
          <t>Собирает на себя</t>
        </is>
      </c>
      <c r="B45" s="16" t="inlineStr">
        <is>
          <t>Eventbrite</t>
        </is>
      </c>
      <c r="C45" s="16" t="inlineStr">
        <is>
          <t>США</t>
        </is>
      </c>
      <c r="D45" s="16" t="inlineStr">
        <is>
          <t>Standard</t>
        </is>
      </c>
      <c r="E45" s="16" t="inlineStr">
        <is>
          <t>USD</t>
        </is>
      </c>
      <c r="F45" s="9">
        <f>INDEX('Курсы'!$B$4:$B$46,MATCH($E45,'Курсы'!$A$4:$A$46,0))</f>
        <v/>
      </c>
      <c r="G45" s="10" t="n">
        <v>0.037</v>
      </c>
      <c r="H45" s="11" t="n">
        <v>1.79</v>
      </c>
      <c r="I45" s="11" t="n"/>
      <c r="J45" s="11" t="n"/>
      <c r="K45" s="12" t="inlineStr">
        <is>
          <t>нет</t>
        </is>
      </c>
      <c r="L45" s="10" t="n">
        <v>0.029</v>
      </c>
      <c r="M45" s="11" t="n">
        <v>0</v>
      </c>
      <c r="N45" s="12" t="inlineStr">
        <is>
          <t>покупатель (настраивается)</t>
        </is>
      </c>
      <c r="O45" s="12" t="inlineStr">
        <is>
          <t>+2,9 % обработка платежа с заказа</t>
        </is>
      </c>
      <c r="P45" s="13">
        <f>(MIN(IF($J45="",1E+9,$J45),MAX(IF($I45="",0,$I45),$G45*P$3*$F45+$H45))+IF($K45="да",0,$L45*P$3*$F45+$M45))/$F45</f>
        <v/>
      </c>
      <c r="Q45" s="13">
        <f>(MIN(IF($J45="",1E+9,$J45),MAX(IF($I45="",0,$I45),$G45*Q$3*$F45+$H45))+IF($K45="да",0,$L45*Q$3*$F45+$M45))/$F45</f>
        <v/>
      </c>
      <c r="R45" s="13">
        <f>(MIN(IF($J45="",1E+9,$J45),MAX(IF($I45="",0,$I45),$G45*R$3*$F45+$H45))+IF($K45="да",0,$L45*R$3*$F45+$M45))/$F45</f>
        <v/>
      </c>
      <c r="S45" s="13">
        <f>(MIN(IF($J45="",1E+9,$J45),MAX(IF($I45="",0,$I45),$G45*S$3*$F45+$H45))+IF($K45="да",0,$L45*S$3*$F45+$M45))/$F45</f>
        <v/>
      </c>
      <c r="T45" s="14">
        <f>P45/P$3</f>
        <v/>
      </c>
      <c r="U45" s="14">
        <f>Q45/Q$3</f>
        <v/>
      </c>
      <c r="V45" s="14">
        <f>R45/R$3</f>
        <v/>
      </c>
      <c r="W45" s="14">
        <f>S45/S$3</f>
        <v/>
      </c>
    </row>
    <row r="46">
      <c r="A46" s="16" t="inlineStr">
        <is>
          <t>Собирает на себя</t>
        </is>
      </c>
      <c r="B46" s="16" t="inlineStr">
        <is>
          <t>Eventbrite</t>
        </is>
      </c>
      <c r="C46" s="16" t="inlineStr">
        <is>
          <t>UK</t>
        </is>
      </c>
      <c r="D46" s="16" t="inlineStr">
        <is>
          <t>Standard</t>
        </is>
      </c>
      <c r="E46" s="16" t="inlineStr">
        <is>
          <t>GBP</t>
        </is>
      </c>
      <c r="F46" s="9">
        <f>INDEX('Курсы'!$B$4:$B$46,MATCH($E46,'Курсы'!$A$4:$A$46,0))</f>
        <v/>
      </c>
      <c r="G46" s="10" t="n">
        <v>0.06950000000000001</v>
      </c>
      <c r="H46" s="11" t="n">
        <v>0.59</v>
      </c>
      <c r="I46" s="11" t="n"/>
      <c r="J46" s="11" t="n"/>
      <c r="K46" s="12" t="inlineStr">
        <is>
          <t>да</t>
        </is>
      </c>
      <c r="L46" s="10" t="n">
        <v>0</v>
      </c>
      <c r="M46" s="11" t="n">
        <v>0</v>
      </c>
      <c r="N46" s="12" t="inlineStr">
        <is>
          <t>покупатель (настраивается)</t>
        </is>
      </c>
      <c r="O46" s="12" t="inlineStr"/>
      <c r="P46" s="13">
        <f>(MIN(IF($J46="",1E+9,$J46),MAX(IF($I46="",0,$I46),$G46*P$3*$F46+$H46))+IF($K46="да",0,$L46*P$3*$F46+$M46))/$F46</f>
        <v/>
      </c>
      <c r="Q46" s="13">
        <f>(MIN(IF($J46="",1E+9,$J46),MAX(IF($I46="",0,$I46),$G46*Q$3*$F46+$H46))+IF($K46="да",0,$L46*Q$3*$F46+$M46))/$F46</f>
        <v/>
      </c>
      <c r="R46" s="13">
        <f>(MIN(IF($J46="",1E+9,$J46),MAX(IF($I46="",0,$I46),$G46*R$3*$F46+$H46))+IF($K46="да",0,$L46*R$3*$F46+$M46))/$F46</f>
        <v/>
      </c>
      <c r="S46" s="13">
        <f>(MIN(IF($J46="",1E+9,$J46),MAX(IF($I46="",0,$I46),$G46*S$3*$F46+$H46))+IF($K46="да",0,$L46*S$3*$F46+$M46))/$F46</f>
        <v/>
      </c>
      <c r="T46" s="14">
        <f>P46/P$3</f>
        <v/>
      </c>
      <c r="U46" s="14">
        <f>Q46/Q$3</f>
        <v/>
      </c>
      <c r="V46" s="14">
        <f>R46/R$3</f>
        <v/>
      </c>
      <c r="W46" s="14">
        <f>S46/S$3</f>
        <v/>
      </c>
    </row>
    <row r="47">
      <c r="A47" s="16" t="inlineStr">
        <is>
          <t>Собирает на себя</t>
        </is>
      </c>
      <c r="B47" s="16" t="inlineStr">
        <is>
          <t>Eventbrite</t>
        </is>
      </c>
      <c r="C47" s="16" t="inlineStr">
        <is>
          <t>Ирландия</t>
        </is>
      </c>
      <c r="D47" s="16" t="inlineStr">
        <is>
          <t>Standard</t>
        </is>
      </c>
      <c r="E47" s="16" t="inlineStr">
        <is>
          <t>EUR</t>
        </is>
      </c>
      <c r="F47" s="9">
        <f>INDEX('Курсы'!$B$4:$B$46,MATCH($E47,'Курсы'!$A$4:$A$46,0))</f>
        <v/>
      </c>
      <c r="G47" s="10" t="n">
        <v>0.059</v>
      </c>
      <c r="H47" s="11" t="n">
        <v>0.79</v>
      </c>
      <c r="I47" s="11" t="n"/>
      <c r="J47" s="11" t="n"/>
      <c r="K47" s="12" t="inlineStr">
        <is>
          <t>да</t>
        </is>
      </c>
      <c r="L47" s="10" t="n">
        <v>0</v>
      </c>
      <c r="M47" s="11" t="n">
        <v>0</v>
      </c>
      <c r="N47" s="12" t="inlineStr">
        <is>
          <t>покупатель (настраивается)</t>
        </is>
      </c>
      <c r="O47" s="12" t="inlineStr"/>
      <c r="P47" s="13">
        <f>(MIN(IF($J47="",1E+9,$J47),MAX(IF($I47="",0,$I47),$G47*P$3*$F47+$H47))+IF($K47="да",0,$L47*P$3*$F47+$M47))/$F47</f>
        <v/>
      </c>
      <c r="Q47" s="13">
        <f>(MIN(IF($J47="",1E+9,$J47),MAX(IF($I47="",0,$I47),$G47*Q$3*$F47+$H47))+IF($K47="да",0,$L47*Q$3*$F47+$M47))/$F47</f>
        <v/>
      </c>
      <c r="R47" s="13">
        <f>(MIN(IF($J47="",1E+9,$J47),MAX(IF($I47="",0,$I47),$G47*R$3*$F47+$H47))+IF($K47="да",0,$L47*R$3*$F47+$M47))/$F47</f>
        <v/>
      </c>
      <c r="S47" s="13">
        <f>(MIN(IF($J47="",1E+9,$J47),MAX(IF($I47="",0,$I47),$G47*S$3*$F47+$H47))+IF($K47="да",0,$L47*S$3*$F47+$M47))/$F47</f>
        <v/>
      </c>
      <c r="T47" s="14">
        <f>P47/P$3</f>
        <v/>
      </c>
      <c r="U47" s="14">
        <f>Q47/Q$3</f>
        <v/>
      </c>
      <c r="V47" s="14">
        <f>R47/R$3</f>
        <v/>
      </c>
      <c r="W47" s="14">
        <f>S47/S$3</f>
        <v/>
      </c>
    </row>
    <row r="48">
      <c r="A48" s="16" t="inlineStr">
        <is>
          <t>Собирает на себя</t>
        </is>
      </c>
      <c r="B48" s="16" t="inlineStr">
        <is>
          <t>Eventbrite</t>
        </is>
      </c>
      <c r="C48" s="16" t="inlineStr">
        <is>
          <t>Испания</t>
        </is>
      </c>
      <c r="D48" s="16" t="inlineStr">
        <is>
          <t>Essentials (старая таблица)</t>
        </is>
      </c>
      <c r="E48" s="16" t="inlineStr">
        <is>
          <t>EUR</t>
        </is>
      </c>
      <c r="F48" s="9">
        <f>INDEX('Курсы'!$B$4:$B$46,MATCH($E48,'Курсы'!$A$4:$A$46,0))</f>
        <v/>
      </c>
      <c r="G48" s="10" t="n">
        <v>0.06</v>
      </c>
      <c r="H48" s="11" t="n">
        <v>0</v>
      </c>
      <c r="I48" s="11" t="n"/>
      <c r="J48" s="11" t="n"/>
      <c r="K48" s="12" t="inlineStr">
        <is>
          <t>да</t>
        </is>
      </c>
      <c r="L48" s="10" t="n">
        <v>0</v>
      </c>
      <c r="M48" s="11" t="n">
        <v>0</v>
      </c>
      <c r="N48" s="12" t="inlineStr">
        <is>
          <t>покупатель (настраивается)</t>
        </is>
      </c>
      <c r="O48" s="12" t="inlineStr"/>
      <c r="P48" s="13">
        <f>(MIN(IF($J48="",1E+9,$J48),MAX(IF($I48="",0,$I48),$G48*P$3*$F48+$H48))+IF($K48="да",0,$L48*P$3*$F48+$M48))/$F48</f>
        <v/>
      </c>
      <c r="Q48" s="13">
        <f>(MIN(IF($J48="",1E+9,$J48),MAX(IF($I48="",0,$I48),$G48*Q$3*$F48+$H48))+IF($K48="да",0,$L48*Q$3*$F48+$M48))/$F48</f>
        <v/>
      </c>
      <c r="R48" s="13">
        <f>(MIN(IF($J48="",1E+9,$J48),MAX(IF($I48="",0,$I48),$G48*R$3*$F48+$H48))+IF($K48="да",0,$L48*R$3*$F48+$M48))/$F48</f>
        <v/>
      </c>
      <c r="S48" s="13">
        <f>(MIN(IF($J48="",1E+9,$J48),MAX(IF($I48="",0,$I48),$G48*S$3*$F48+$H48))+IF($K48="да",0,$L48*S$3*$F48+$M48))/$F48</f>
        <v/>
      </c>
      <c r="T48" s="14">
        <f>P48/P$3</f>
        <v/>
      </c>
      <c r="U48" s="14">
        <f>Q48/Q$3</f>
        <v/>
      </c>
      <c r="V48" s="14">
        <f>R48/R$3</f>
        <v/>
      </c>
      <c r="W48" s="14">
        <f>S48/S$3</f>
        <v/>
      </c>
    </row>
    <row r="49">
      <c r="A49" s="16" t="inlineStr">
        <is>
          <t>Собирает на себя</t>
        </is>
      </c>
      <c r="B49" s="16" t="inlineStr">
        <is>
          <t>Eventbrite</t>
        </is>
      </c>
      <c r="C49" s="16" t="inlineStr">
        <is>
          <t>Германия</t>
        </is>
      </c>
      <c r="D49" s="16" t="inlineStr">
        <is>
          <t>Essentials (старая таблица)</t>
        </is>
      </c>
      <c r="E49" s="16" t="inlineStr">
        <is>
          <t>EUR</t>
        </is>
      </c>
      <c r="F49" s="9">
        <f>INDEX('Курсы'!$B$4:$B$46,MATCH($E49,'Курсы'!$A$4:$A$46,0))</f>
        <v/>
      </c>
      <c r="G49" s="10" t="n">
        <v>0.055</v>
      </c>
      <c r="H49" s="11" t="n">
        <v>0</v>
      </c>
      <c r="I49" s="11" t="n"/>
      <c r="J49" s="11" t="n"/>
      <c r="K49" s="12" t="inlineStr">
        <is>
          <t>да</t>
        </is>
      </c>
      <c r="L49" s="10" t="n">
        <v>0</v>
      </c>
      <c r="M49" s="11" t="n">
        <v>0</v>
      </c>
      <c r="N49" s="12" t="inlineStr">
        <is>
          <t>покупатель (настраивается)</t>
        </is>
      </c>
      <c r="O49" s="12" t="inlineStr"/>
      <c r="P49" s="13">
        <f>(MIN(IF($J49="",1E+9,$J49),MAX(IF($I49="",0,$I49),$G49*P$3*$F49+$H49))+IF($K49="да",0,$L49*P$3*$F49+$M49))/$F49</f>
        <v/>
      </c>
      <c r="Q49" s="13">
        <f>(MIN(IF($J49="",1E+9,$J49),MAX(IF($I49="",0,$I49),$G49*Q$3*$F49+$H49))+IF($K49="да",0,$L49*Q$3*$F49+$M49))/$F49</f>
        <v/>
      </c>
      <c r="R49" s="13">
        <f>(MIN(IF($J49="",1E+9,$J49),MAX(IF($I49="",0,$I49),$G49*R$3*$F49+$H49))+IF($K49="да",0,$L49*R$3*$F49+$M49))/$F49</f>
        <v/>
      </c>
      <c r="S49" s="13">
        <f>(MIN(IF($J49="",1E+9,$J49),MAX(IF($I49="",0,$I49),$G49*S$3*$F49+$H49))+IF($K49="да",0,$L49*S$3*$F49+$M49))/$F49</f>
        <v/>
      </c>
      <c r="T49" s="14">
        <f>P49/P$3</f>
        <v/>
      </c>
      <c r="U49" s="14">
        <f>Q49/Q$3</f>
        <v/>
      </c>
      <c r="V49" s="14">
        <f>R49/R$3</f>
        <v/>
      </c>
      <c r="W49" s="14">
        <f>S49/S$3</f>
        <v/>
      </c>
    </row>
    <row r="50">
      <c r="A50" s="16" t="inlineStr">
        <is>
          <t>Собирает на себя</t>
        </is>
      </c>
      <c r="B50" s="16" t="inlineStr">
        <is>
          <t>Eventbrite</t>
        </is>
      </c>
      <c r="C50" s="16" t="inlineStr">
        <is>
          <t>Чехия</t>
        </is>
      </c>
      <c r="D50" s="16" t="inlineStr">
        <is>
          <t>Essentials (старая таблица)</t>
        </is>
      </c>
      <c r="E50" s="16" t="inlineStr">
        <is>
          <t>CZK</t>
        </is>
      </c>
      <c r="F50" s="9">
        <f>INDEX('Курсы'!$B$4:$B$46,MATCH($E50,'Курсы'!$A$4:$A$46,0))</f>
        <v/>
      </c>
      <c r="G50" s="10" t="n">
        <v>0.01</v>
      </c>
      <c r="H50" s="11" t="n">
        <v>19</v>
      </c>
      <c r="I50" s="11" t="n"/>
      <c r="J50" s="11" t="n"/>
      <c r="K50" s="12" t="inlineStr">
        <is>
          <t>да</t>
        </is>
      </c>
      <c r="L50" s="10" t="n">
        <v>0</v>
      </c>
      <c r="M50" s="11" t="n">
        <v>0</v>
      </c>
      <c r="N50" s="12" t="inlineStr">
        <is>
          <t>покупатель (настраивается)</t>
        </is>
      </c>
      <c r="O50" s="12" t="inlineStr">
        <is>
          <t>Включена ли обработка платежа — проверить</t>
        </is>
      </c>
      <c r="P50" s="13">
        <f>(MIN(IF($J50="",1E+9,$J50),MAX(IF($I50="",0,$I50),$G50*P$3*$F50+$H50))+IF($K50="да",0,$L50*P$3*$F50+$M50))/$F50</f>
        <v/>
      </c>
      <c r="Q50" s="13">
        <f>(MIN(IF($J50="",1E+9,$J50),MAX(IF($I50="",0,$I50),$G50*Q$3*$F50+$H50))+IF($K50="да",0,$L50*Q$3*$F50+$M50))/$F50</f>
        <v/>
      </c>
      <c r="R50" s="13">
        <f>(MIN(IF($J50="",1E+9,$J50),MAX(IF($I50="",0,$I50),$G50*R$3*$F50+$H50))+IF($K50="да",0,$L50*R$3*$F50+$M50))/$F50</f>
        <v/>
      </c>
      <c r="S50" s="13">
        <f>(MIN(IF($J50="",1E+9,$J50),MAX(IF($I50="",0,$I50),$G50*S$3*$F50+$H50))+IF($K50="да",0,$L50*S$3*$F50+$M50))/$F50</f>
        <v/>
      </c>
      <c r="T50" s="14">
        <f>P50/P$3</f>
        <v/>
      </c>
      <c r="U50" s="14">
        <f>Q50/Q$3</f>
        <v/>
      </c>
      <c r="V50" s="14">
        <f>R50/R$3</f>
        <v/>
      </c>
      <c r="W50" s="14">
        <f>S50/S$3</f>
        <v/>
      </c>
    </row>
    <row r="51">
      <c r="A51" s="16" t="inlineStr">
        <is>
          <t>Собирает на себя</t>
        </is>
      </c>
      <c r="B51" s="16" t="inlineStr">
        <is>
          <t>Eventim.Light</t>
        </is>
      </c>
      <c r="C51" s="16" t="inlineStr">
        <is>
          <t>Германия</t>
        </is>
      </c>
      <c r="D51" s="16" t="inlineStr">
        <is>
          <t>Свой магазин</t>
        </is>
      </c>
      <c r="E51" s="16" t="inlineStr">
        <is>
          <t>EUR</t>
        </is>
      </c>
      <c r="F51" s="9">
        <f>INDEX('Курсы'!$B$4:$B$46,MATCH($E51,'Курсы'!$A$4:$A$46,0))</f>
        <v/>
      </c>
      <c r="G51" s="10" t="n">
        <v>0.035</v>
      </c>
      <c r="H51" s="11" t="n">
        <v>0.49</v>
      </c>
      <c r="I51" s="11" t="n"/>
      <c r="J51" s="11" t="n"/>
      <c r="K51" s="12" t="inlineStr">
        <is>
          <t>да</t>
        </is>
      </c>
      <c r="L51" s="10" t="n">
        <v>0</v>
      </c>
      <c r="M51" s="11" t="n">
        <v>0</v>
      </c>
      <c r="N51" s="12" t="inlineStr">
        <is>
          <t>настраивается</t>
        </is>
      </c>
      <c r="O51" s="12" t="inlineStr">
        <is>
          <t>Сеть Eventim +10 %</t>
        </is>
      </c>
      <c r="P51" s="13">
        <f>(MIN(IF($J51="",1E+9,$J51),MAX(IF($I51="",0,$I51),$G51*P$3*$F51+$H51))+IF($K51="да",0,$L51*P$3*$F51+$M51))/$F51</f>
        <v/>
      </c>
      <c r="Q51" s="13">
        <f>(MIN(IF($J51="",1E+9,$J51),MAX(IF($I51="",0,$I51),$G51*Q$3*$F51+$H51))+IF($K51="да",0,$L51*Q$3*$F51+$M51))/$F51</f>
        <v/>
      </c>
      <c r="R51" s="13">
        <f>(MIN(IF($J51="",1E+9,$J51),MAX(IF($I51="",0,$I51),$G51*R$3*$F51+$H51))+IF($K51="да",0,$L51*R$3*$F51+$M51))/$F51</f>
        <v/>
      </c>
      <c r="S51" s="13">
        <f>(MIN(IF($J51="",1E+9,$J51),MAX(IF($I51="",0,$I51),$G51*S$3*$F51+$H51))+IF($K51="да",0,$L51*S$3*$F51+$M51))/$F51</f>
        <v/>
      </c>
      <c r="T51" s="14">
        <f>P51/P$3</f>
        <v/>
      </c>
      <c r="U51" s="14">
        <f>Q51/Q$3</f>
        <v/>
      </c>
      <c r="V51" s="14">
        <f>R51/R$3</f>
        <v/>
      </c>
      <c r="W51" s="14">
        <f>S51/S$3</f>
        <v/>
      </c>
    </row>
    <row r="52">
      <c r="A52" s="16" t="inlineStr">
        <is>
          <t>Собирает на себя</t>
        </is>
      </c>
      <c r="B52" s="16" t="inlineStr">
        <is>
          <t>Eventim.Light</t>
        </is>
      </c>
      <c r="C52" s="16" t="inlineStr">
        <is>
          <t>Испания</t>
        </is>
      </c>
      <c r="D52" s="16" t="inlineStr">
        <is>
          <t>Свой магазин</t>
        </is>
      </c>
      <c r="E52" s="16" t="inlineStr">
        <is>
          <t>EUR</t>
        </is>
      </c>
      <c r="F52" s="9">
        <f>INDEX('Курсы'!$B$4:$B$46,MATCH($E52,'Курсы'!$A$4:$A$46,0))</f>
        <v/>
      </c>
      <c r="G52" s="10" t="n">
        <v>0.035</v>
      </c>
      <c r="H52" s="11" t="n">
        <v>0.4</v>
      </c>
      <c r="I52" s="11" t="n"/>
      <c r="J52" s="11" t="n"/>
      <c r="K52" s="12" t="inlineStr">
        <is>
          <t>да</t>
        </is>
      </c>
      <c r="L52" s="10" t="n">
        <v>0</v>
      </c>
      <c r="M52" s="11" t="n">
        <v>0</v>
      </c>
      <c r="N52" s="12" t="inlineStr">
        <is>
          <t>настраивается</t>
        </is>
      </c>
      <c r="O52" s="12" t="inlineStr">
        <is>
          <t>Через entradas.com 9,5 % + 0,40</t>
        </is>
      </c>
      <c r="P52" s="13">
        <f>(MIN(IF($J52="",1E+9,$J52),MAX(IF($I52="",0,$I52),$G52*P$3*$F52+$H52))+IF($K52="да",0,$L52*P$3*$F52+$M52))/$F52</f>
        <v/>
      </c>
      <c r="Q52" s="13">
        <f>(MIN(IF($J52="",1E+9,$J52),MAX(IF($I52="",0,$I52),$G52*Q$3*$F52+$H52))+IF($K52="да",0,$L52*Q$3*$F52+$M52))/$F52</f>
        <v/>
      </c>
      <c r="R52" s="13">
        <f>(MIN(IF($J52="",1E+9,$J52),MAX(IF($I52="",0,$I52),$G52*R$3*$F52+$H52))+IF($K52="да",0,$L52*R$3*$F52+$M52))/$F52</f>
        <v/>
      </c>
      <c r="S52" s="13">
        <f>(MIN(IF($J52="",1E+9,$J52),MAX(IF($I52="",0,$I52),$G52*S$3*$F52+$H52))+IF($K52="да",0,$L52*S$3*$F52+$M52))/$F52</f>
        <v/>
      </c>
      <c r="T52" s="14">
        <f>P52/P$3</f>
        <v/>
      </c>
      <c r="U52" s="14">
        <f>Q52/Q$3</f>
        <v/>
      </c>
      <c r="V52" s="14">
        <f>R52/R$3</f>
        <v/>
      </c>
      <c r="W52" s="14">
        <f>S52/S$3</f>
        <v/>
      </c>
    </row>
    <row r="53">
      <c r="A53" s="16" t="inlineStr">
        <is>
          <t>Собирает на себя</t>
        </is>
      </c>
      <c r="B53" s="16" t="inlineStr">
        <is>
          <t>Eventim.Light</t>
        </is>
      </c>
      <c r="C53" s="16" t="inlineStr">
        <is>
          <t>Нидерланды</t>
        </is>
      </c>
      <c r="D53" s="16" t="inlineStr">
        <is>
          <t>Свой магазин</t>
        </is>
      </c>
      <c r="E53" s="16" t="inlineStr">
        <is>
          <t>EUR</t>
        </is>
      </c>
      <c r="F53" s="9">
        <f>INDEX('Курсы'!$B$4:$B$46,MATCH($E53,'Курсы'!$A$4:$A$46,0))</f>
        <v/>
      </c>
      <c r="G53" s="10" t="n">
        <v>0.02</v>
      </c>
      <c r="H53" s="11" t="n">
        <v>0.49</v>
      </c>
      <c r="I53" s="11" t="n"/>
      <c r="J53" s="11" t="n"/>
      <c r="K53" s="12" t="inlineStr">
        <is>
          <t>да</t>
        </is>
      </c>
      <c r="L53" s="10" t="n">
        <v>0</v>
      </c>
      <c r="M53" s="11" t="n">
        <v>0</v>
      </c>
      <c r="N53" s="12" t="inlineStr">
        <is>
          <t>настраивается</t>
        </is>
      </c>
      <c r="O53" s="12" t="inlineStr"/>
      <c r="P53" s="13">
        <f>(MIN(IF($J53="",1E+9,$J53),MAX(IF($I53="",0,$I53),$G53*P$3*$F53+$H53))+IF($K53="да",0,$L53*P$3*$F53+$M53))/$F53</f>
        <v/>
      </c>
      <c r="Q53" s="13">
        <f>(MIN(IF($J53="",1E+9,$J53),MAX(IF($I53="",0,$I53),$G53*Q$3*$F53+$H53))+IF($K53="да",0,$L53*Q$3*$F53+$M53))/$F53</f>
        <v/>
      </c>
      <c r="R53" s="13">
        <f>(MIN(IF($J53="",1E+9,$J53),MAX(IF($I53="",0,$I53),$G53*R$3*$F53+$H53))+IF($K53="да",0,$L53*R$3*$F53+$M53))/$F53</f>
        <v/>
      </c>
      <c r="S53" s="13">
        <f>(MIN(IF($J53="",1E+9,$J53),MAX(IF($I53="",0,$I53),$G53*S$3*$F53+$H53))+IF($K53="да",0,$L53*S$3*$F53+$M53))/$F53</f>
        <v/>
      </c>
      <c r="T53" s="14">
        <f>P53/P$3</f>
        <v/>
      </c>
      <c r="U53" s="14">
        <f>Q53/Q$3</f>
        <v/>
      </c>
      <c r="V53" s="14">
        <f>R53/R$3</f>
        <v/>
      </c>
      <c r="W53" s="14">
        <f>S53/S$3</f>
        <v/>
      </c>
    </row>
    <row r="54">
      <c r="A54" s="16" t="inlineStr">
        <is>
          <t>Собирает на себя</t>
        </is>
      </c>
      <c r="B54" s="16" t="inlineStr">
        <is>
          <t>Eventim.Light</t>
        </is>
      </c>
      <c r="C54" s="16" t="inlineStr">
        <is>
          <t>Австрия</t>
        </is>
      </c>
      <c r="D54" s="16" t="inlineStr">
        <is>
          <t>Свой магазин</t>
        </is>
      </c>
      <c r="E54" s="16" t="inlineStr">
        <is>
          <t>EUR</t>
        </is>
      </c>
      <c r="F54" s="9">
        <f>INDEX('Курсы'!$B$4:$B$46,MATCH($E54,'Курсы'!$A$4:$A$46,0))</f>
        <v/>
      </c>
      <c r="G54" s="10" t="n">
        <v>0.05</v>
      </c>
      <c r="H54" s="11" t="n">
        <v>0</v>
      </c>
      <c r="I54" s="11" t="n">
        <v>0.39</v>
      </c>
      <c r="J54" s="11" t="n"/>
      <c r="K54" s="12" t="inlineStr">
        <is>
          <t>да</t>
        </is>
      </c>
      <c r="L54" s="10" t="n">
        <v>0</v>
      </c>
      <c r="M54" s="11" t="n">
        <v>0</v>
      </c>
      <c r="N54" s="12" t="inlineStr">
        <is>
          <t>настраивается</t>
        </is>
      </c>
      <c r="O54" s="12" t="inlineStr"/>
      <c r="P54" s="13">
        <f>(MIN(IF($J54="",1E+9,$J54),MAX(IF($I54="",0,$I54),$G54*P$3*$F54+$H54))+IF($K54="да",0,$L54*P$3*$F54+$M54))/$F54</f>
        <v/>
      </c>
      <c r="Q54" s="13">
        <f>(MIN(IF($J54="",1E+9,$J54),MAX(IF($I54="",0,$I54),$G54*Q$3*$F54+$H54))+IF($K54="да",0,$L54*Q$3*$F54+$M54))/$F54</f>
        <v/>
      </c>
      <c r="R54" s="13">
        <f>(MIN(IF($J54="",1E+9,$J54),MAX(IF($I54="",0,$I54),$G54*R$3*$F54+$H54))+IF($K54="да",0,$L54*R$3*$F54+$M54))/$F54</f>
        <v/>
      </c>
      <c r="S54" s="13">
        <f>(MIN(IF($J54="",1E+9,$J54),MAX(IF($I54="",0,$I54),$G54*S$3*$F54+$H54))+IF($K54="да",0,$L54*S$3*$F54+$M54))/$F54</f>
        <v/>
      </c>
      <c r="T54" s="14">
        <f>P54/P$3</f>
        <v/>
      </c>
      <c r="U54" s="14">
        <f>Q54/Q$3</f>
        <v/>
      </c>
      <c r="V54" s="14">
        <f>R54/R$3</f>
        <v/>
      </c>
      <c r="W54" s="14">
        <f>S54/S$3</f>
        <v/>
      </c>
    </row>
    <row r="55">
      <c r="A55" s="16" t="inlineStr">
        <is>
          <t>Собирает на себя</t>
        </is>
      </c>
      <c r="B55" s="16" t="inlineStr">
        <is>
          <t>Eventim.Light</t>
        </is>
      </c>
      <c r="C55" s="16" t="inlineStr">
        <is>
          <t>Финляндия</t>
        </is>
      </c>
      <c r="D55" s="16" t="inlineStr">
        <is>
          <t>Standard</t>
        </is>
      </c>
      <c r="E55" s="16" t="inlineStr">
        <is>
          <t>EUR</t>
        </is>
      </c>
      <c r="F55" s="9">
        <f>INDEX('Курсы'!$B$4:$B$46,MATCH($E55,'Курсы'!$A$4:$A$46,0))</f>
        <v/>
      </c>
      <c r="G55" s="10" t="n">
        <v>0.12</v>
      </c>
      <c r="H55" s="11" t="n">
        <v>0</v>
      </c>
      <c r="I55" s="11" t="n"/>
      <c r="J55" s="11" t="n"/>
      <c r="K55" s="12" t="inlineStr">
        <is>
          <t>да</t>
        </is>
      </c>
      <c r="L55" s="10" t="n">
        <v>0</v>
      </c>
      <c r="M55" s="11" t="n">
        <v>0</v>
      </c>
      <c r="N55" s="12" t="inlineStr">
        <is>
          <t>настраивается</t>
        </is>
      </c>
      <c r="O55" s="12" t="inlineStr"/>
      <c r="P55" s="13">
        <f>(MIN(IF($J55="",1E+9,$J55),MAX(IF($I55="",0,$I55),$G55*P$3*$F55+$H55))+IF($K55="да",0,$L55*P$3*$F55+$M55))/$F55</f>
        <v/>
      </c>
      <c r="Q55" s="13">
        <f>(MIN(IF($J55="",1E+9,$J55),MAX(IF($I55="",0,$I55),$G55*Q$3*$F55+$H55))+IF($K55="да",0,$L55*Q$3*$F55+$M55))/$F55</f>
        <v/>
      </c>
      <c r="R55" s="13">
        <f>(MIN(IF($J55="",1E+9,$J55),MAX(IF($I55="",0,$I55),$G55*R$3*$F55+$H55))+IF($K55="да",0,$L55*R$3*$F55+$M55))/$F55</f>
        <v/>
      </c>
      <c r="S55" s="13">
        <f>(MIN(IF($J55="",1E+9,$J55),MAX(IF($I55="",0,$I55),$G55*S$3*$F55+$H55))+IF($K55="да",0,$L55*S$3*$F55+$M55))/$F55</f>
        <v/>
      </c>
      <c r="T55" s="14">
        <f>P55/P$3</f>
        <v/>
      </c>
      <c r="U55" s="14">
        <f>Q55/Q$3</f>
        <v/>
      </c>
      <c r="V55" s="14">
        <f>R55/R$3</f>
        <v/>
      </c>
      <c r="W55" s="14">
        <f>S55/S$3</f>
        <v/>
      </c>
    </row>
    <row r="56">
      <c r="A56" s="16" t="inlineStr">
        <is>
          <t>Собирает на себя</t>
        </is>
      </c>
      <c r="B56" s="16" t="inlineStr">
        <is>
          <t>Ticketcorner.Light</t>
        </is>
      </c>
      <c r="C56" s="16" t="inlineStr">
        <is>
          <t>Швейцария</t>
        </is>
      </c>
      <c r="D56" s="16" t="inlineStr">
        <is>
          <t>Свой магазин</t>
        </is>
      </c>
      <c r="E56" s="16" t="inlineStr">
        <is>
          <t>CHF</t>
        </is>
      </c>
      <c r="F56" s="9">
        <f>INDEX('Курсы'!$B$4:$B$46,MATCH($E56,'Курсы'!$A$4:$A$46,0))</f>
        <v/>
      </c>
      <c r="G56" s="10" t="n">
        <v>0.04</v>
      </c>
      <c r="H56" s="11" t="n">
        <v>0.5</v>
      </c>
      <c r="I56" s="11" t="n"/>
      <c r="J56" s="11" t="n"/>
      <c r="K56" s="12" t="inlineStr">
        <is>
          <t>да</t>
        </is>
      </c>
      <c r="L56" s="10" t="n">
        <v>0</v>
      </c>
      <c r="M56" s="11" t="n">
        <v>0</v>
      </c>
      <c r="N56" s="12" t="inlineStr">
        <is>
          <t>настраивается</t>
        </is>
      </c>
      <c r="O56" s="12" t="inlineStr">
        <is>
          <t>Через сеть Ticketcorner 12 % + 0,50</t>
        </is>
      </c>
      <c r="P56" s="13">
        <f>(MIN(IF($J56="",1E+9,$J56),MAX(IF($I56="",0,$I56),$G56*P$3*$F56+$H56))+IF($K56="да",0,$L56*P$3*$F56+$M56))/$F56</f>
        <v/>
      </c>
      <c r="Q56" s="13">
        <f>(MIN(IF($J56="",1E+9,$J56),MAX(IF($I56="",0,$I56),$G56*Q$3*$F56+$H56))+IF($K56="да",0,$L56*Q$3*$F56+$M56))/$F56</f>
        <v/>
      </c>
      <c r="R56" s="13">
        <f>(MIN(IF($J56="",1E+9,$J56),MAX(IF($I56="",0,$I56),$G56*R$3*$F56+$H56))+IF($K56="да",0,$L56*R$3*$F56+$M56))/$F56</f>
        <v/>
      </c>
      <c r="S56" s="13">
        <f>(MIN(IF($J56="",1E+9,$J56),MAX(IF($I56="",0,$I56),$G56*S$3*$F56+$H56))+IF($K56="да",0,$L56*S$3*$F56+$M56))/$F56</f>
        <v/>
      </c>
      <c r="T56" s="14">
        <f>P56/P$3</f>
        <v/>
      </c>
      <c r="U56" s="14">
        <f>Q56/Q$3</f>
        <v/>
      </c>
      <c r="V56" s="14">
        <f>R56/R$3</f>
        <v/>
      </c>
      <c r="W56" s="14">
        <f>S56/S$3</f>
        <v/>
      </c>
    </row>
    <row r="57">
      <c r="A57" s="16" t="inlineStr">
        <is>
          <t>Собирает на себя</t>
        </is>
      </c>
      <c r="B57" s="16" t="inlineStr">
        <is>
          <t>Eventfrog</t>
        </is>
      </c>
      <c r="C57" s="16" t="inlineStr">
        <is>
          <t>Швейцария</t>
        </is>
      </c>
      <c r="D57" s="16" t="inlineStr">
        <is>
          <t>Plus</t>
        </is>
      </c>
      <c r="E57" s="16" t="inlineStr">
        <is>
          <t>CHF</t>
        </is>
      </c>
      <c r="F57" s="9">
        <f>INDEX('Курсы'!$B$4:$B$46,MATCH($E57,'Курсы'!$A$4:$A$46,0))</f>
        <v/>
      </c>
      <c r="G57" s="10" t="n">
        <v>0.024</v>
      </c>
      <c r="H57" s="11" t="n">
        <v>0.49</v>
      </c>
      <c r="I57" s="11" t="n"/>
      <c r="J57" s="11" t="n"/>
      <c r="K57" s="12" t="inlineStr">
        <is>
          <t>да</t>
        </is>
      </c>
      <c r="L57" s="10" t="n">
        <v>0</v>
      </c>
      <c r="M57" s="11" t="n">
        <v>0</v>
      </c>
      <c r="N57" s="12" t="inlineStr">
        <is>
          <t>организатор</t>
        </is>
      </c>
      <c r="O57" s="12" t="inlineStr"/>
      <c r="P57" s="13">
        <f>(MIN(IF($J57="",1E+9,$J57),MAX(IF($I57="",0,$I57),$G57*P$3*$F57+$H57))+IF($K57="да",0,$L57*P$3*$F57+$M57))/$F57</f>
        <v/>
      </c>
      <c r="Q57" s="13">
        <f>(MIN(IF($J57="",1E+9,$J57),MAX(IF($I57="",0,$I57),$G57*Q$3*$F57+$H57))+IF($K57="да",0,$L57*Q$3*$F57+$M57))/$F57</f>
        <v/>
      </c>
      <c r="R57" s="13">
        <f>(MIN(IF($J57="",1E+9,$J57),MAX(IF($I57="",0,$I57),$G57*R$3*$F57+$H57))+IF($K57="да",0,$L57*R$3*$F57+$M57))/$F57</f>
        <v/>
      </c>
      <c r="S57" s="13">
        <f>(MIN(IF($J57="",1E+9,$J57),MAX(IF($I57="",0,$I57),$G57*S$3*$F57+$H57))+IF($K57="да",0,$L57*S$3*$F57+$M57))/$F57</f>
        <v/>
      </c>
      <c r="T57" s="14">
        <f>P57/P$3</f>
        <v/>
      </c>
      <c r="U57" s="14">
        <f>Q57/Q$3</f>
        <v/>
      </c>
      <c r="V57" s="14">
        <f>R57/R$3</f>
        <v/>
      </c>
      <c r="W57" s="14">
        <f>S57/S$3</f>
        <v/>
      </c>
    </row>
    <row r="58">
      <c r="A58" s="16" t="inlineStr">
        <is>
          <t>Собирает на себя</t>
        </is>
      </c>
      <c r="B58" s="16" t="inlineStr">
        <is>
          <t>Weezevent</t>
        </is>
      </c>
      <c r="C58" s="16" t="inlineStr">
        <is>
          <t>Франция / EUR</t>
        </is>
      </c>
      <c r="D58" s="16" t="inlineStr">
        <is>
          <t>WeezTicket</t>
        </is>
      </c>
      <c r="E58" s="16" t="inlineStr">
        <is>
          <t>EUR</t>
        </is>
      </c>
      <c r="F58" s="9">
        <f>INDEX('Курсы'!$B$4:$B$46,MATCH($E58,'Курсы'!$A$4:$A$46,0))</f>
        <v/>
      </c>
      <c r="G58" s="10" t="n">
        <v>0.025</v>
      </c>
      <c r="H58" s="11" t="n">
        <v>0</v>
      </c>
      <c r="I58" s="11" t="n">
        <v>0.99</v>
      </c>
      <c r="J58" s="11" t="n"/>
      <c r="K58" s="12" t="inlineStr">
        <is>
          <t>да</t>
        </is>
      </c>
      <c r="L58" s="10" t="n">
        <v>0</v>
      </c>
      <c r="M58" s="11" t="n">
        <v>0</v>
      </c>
      <c r="N58" s="12" t="inlineStr">
        <is>
          <t>—</t>
        </is>
      </c>
      <c r="O58" s="12" t="inlineStr"/>
      <c r="P58" s="13">
        <f>(MIN(IF($J58="",1E+9,$J58),MAX(IF($I58="",0,$I58),$G58*P$3*$F58+$H58))+IF($K58="да",0,$L58*P$3*$F58+$M58))/$F58</f>
        <v/>
      </c>
      <c r="Q58" s="13">
        <f>(MIN(IF($J58="",1E+9,$J58),MAX(IF($I58="",0,$I58),$G58*Q$3*$F58+$H58))+IF($K58="да",0,$L58*Q$3*$F58+$M58))/$F58</f>
        <v/>
      </c>
      <c r="R58" s="13">
        <f>(MIN(IF($J58="",1E+9,$J58),MAX(IF($I58="",0,$I58),$G58*R$3*$F58+$H58))+IF($K58="да",0,$L58*R$3*$F58+$M58))/$F58</f>
        <v/>
      </c>
      <c r="S58" s="13">
        <f>(MIN(IF($J58="",1E+9,$J58),MAX(IF($I58="",0,$I58),$G58*S$3*$F58+$H58))+IF($K58="да",0,$L58*S$3*$F58+$M58))/$F58</f>
        <v/>
      </c>
      <c r="T58" s="14">
        <f>P58/P$3</f>
        <v/>
      </c>
      <c r="U58" s="14">
        <f>Q58/Q$3</f>
        <v/>
      </c>
      <c r="V58" s="14">
        <f>R58/R$3</f>
        <v/>
      </c>
      <c r="W58" s="14">
        <f>S58/S$3</f>
        <v/>
      </c>
    </row>
    <row r="59">
      <c r="A59" s="16" t="inlineStr">
        <is>
          <t>Собирает на себя</t>
        </is>
      </c>
      <c r="B59" s="16" t="inlineStr">
        <is>
          <t>Weezevent</t>
        </is>
      </c>
      <c r="C59" s="16" t="inlineStr">
        <is>
          <t>Швейцария</t>
        </is>
      </c>
      <c r="D59" s="16" t="inlineStr">
        <is>
          <t>WeezTicket</t>
        </is>
      </c>
      <c r="E59" s="16" t="inlineStr">
        <is>
          <t>CHF</t>
        </is>
      </c>
      <c r="F59" s="9">
        <f>INDEX('Курсы'!$B$4:$B$46,MATCH($E59,'Курсы'!$A$4:$A$46,0))</f>
        <v/>
      </c>
      <c r="G59" s="10" t="n">
        <v>0.025</v>
      </c>
      <c r="H59" s="11" t="n">
        <v>0.99</v>
      </c>
      <c r="I59" s="11" t="n"/>
      <c r="J59" s="11" t="n"/>
      <c r="K59" s="12" t="inlineStr">
        <is>
          <t>да</t>
        </is>
      </c>
      <c r="L59" s="10" t="n">
        <v>0</v>
      </c>
      <c r="M59" s="11" t="n">
        <v>0</v>
      </c>
      <c r="N59" s="12" t="inlineStr">
        <is>
          <t>—</t>
        </is>
      </c>
      <c r="O59" s="12" t="inlineStr"/>
      <c r="P59" s="13">
        <f>(MIN(IF($J59="",1E+9,$J59),MAX(IF($I59="",0,$I59),$G59*P$3*$F59+$H59))+IF($K59="да",0,$L59*P$3*$F59+$M59))/$F59</f>
        <v/>
      </c>
      <c r="Q59" s="13">
        <f>(MIN(IF($J59="",1E+9,$J59),MAX(IF($I59="",0,$I59),$G59*Q$3*$F59+$H59))+IF($K59="да",0,$L59*Q$3*$F59+$M59))/$F59</f>
        <v/>
      </c>
      <c r="R59" s="13">
        <f>(MIN(IF($J59="",1E+9,$J59),MAX(IF($I59="",0,$I59),$G59*R$3*$F59+$H59))+IF($K59="да",0,$L59*R$3*$F59+$M59))/$F59</f>
        <v/>
      </c>
      <c r="S59" s="13">
        <f>(MIN(IF($J59="",1E+9,$J59),MAX(IF($I59="",0,$I59),$G59*S$3*$F59+$H59))+IF($K59="да",0,$L59*S$3*$F59+$M59))/$F59</f>
        <v/>
      </c>
      <c r="T59" s="14">
        <f>P59/P$3</f>
        <v/>
      </c>
      <c r="U59" s="14">
        <f>Q59/Q$3</f>
        <v/>
      </c>
      <c r="V59" s="14">
        <f>R59/R$3</f>
        <v/>
      </c>
      <c r="W59" s="14">
        <f>S59/S$3</f>
        <v/>
      </c>
    </row>
    <row r="60">
      <c r="A60" s="16" t="inlineStr">
        <is>
          <t>Собирает на себя</t>
        </is>
      </c>
      <c r="B60" s="16" t="inlineStr">
        <is>
          <t>Billetweb</t>
        </is>
      </c>
      <c r="C60" s="16" t="inlineStr">
        <is>
          <t>Франция</t>
        </is>
      </c>
      <c r="D60" s="16" t="inlineStr">
        <is>
          <t>Standard</t>
        </is>
      </c>
      <c r="E60" s="16" t="inlineStr">
        <is>
          <t>EUR</t>
        </is>
      </c>
      <c r="F60" s="9">
        <f>INDEX('Курсы'!$B$4:$B$46,MATCH($E60,'Курсы'!$A$4:$A$46,0))</f>
        <v/>
      </c>
      <c r="G60" s="10" t="n">
        <v>0.01</v>
      </c>
      <c r="H60" s="11" t="n">
        <v>0.29</v>
      </c>
      <c r="I60" s="11" t="n"/>
      <c r="J60" s="11" t="n"/>
      <c r="K60" s="12" t="inlineStr">
        <is>
          <t>да</t>
        </is>
      </c>
      <c r="L60" s="10" t="n">
        <v>0</v>
      </c>
      <c r="M60" s="11" t="n">
        <v>0</v>
      </c>
      <c r="N60" s="12" t="inlineStr">
        <is>
          <t>настраивается</t>
        </is>
      </c>
      <c r="O60" s="12" t="inlineStr"/>
      <c r="P60" s="13">
        <f>(MIN(IF($J60="",1E+9,$J60),MAX(IF($I60="",0,$I60),$G60*P$3*$F60+$H60))+IF($K60="да",0,$L60*P$3*$F60+$M60))/$F60</f>
        <v/>
      </c>
      <c r="Q60" s="13">
        <f>(MIN(IF($J60="",1E+9,$J60),MAX(IF($I60="",0,$I60),$G60*Q$3*$F60+$H60))+IF($K60="да",0,$L60*Q$3*$F60+$M60))/$F60</f>
        <v/>
      </c>
      <c r="R60" s="13">
        <f>(MIN(IF($J60="",1E+9,$J60),MAX(IF($I60="",0,$I60),$G60*R$3*$F60+$H60))+IF($K60="да",0,$L60*R$3*$F60+$M60))/$F60</f>
        <v/>
      </c>
      <c r="S60" s="13">
        <f>(MIN(IF($J60="",1E+9,$J60),MAX(IF($I60="",0,$I60),$G60*S$3*$F60+$H60))+IF($K60="да",0,$L60*S$3*$F60+$M60))/$F60</f>
        <v/>
      </c>
      <c r="T60" s="14">
        <f>P60/P$3</f>
        <v/>
      </c>
      <c r="U60" s="14">
        <f>Q60/Q$3</f>
        <v/>
      </c>
      <c r="V60" s="14">
        <f>R60/R$3</f>
        <v/>
      </c>
      <c r="W60" s="14">
        <f>S60/S$3</f>
        <v/>
      </c>
    </row>
    <row r="61">
      <c r="A61" s="16" t="inlineStr">
        <is>
          <t>Собирает на себя</t>
        </is>
      </c>
      <c r="B61" s="16" t="inlineStr">
        <is>
          <t>Yurplan</t>
        </is>
      </c>
      <c r="C61" s="16" t="inlineStr">
        <is>
          <t>Франция</t>
        </is>
      </c>
      <c r="D61" s="16" t="inlineStr">
        <is>
          <t>Standard</t>
        </is>
      </c>
      <c r="E61" s="16" t="inlineStr">
        <is>
          <t>EUR</t>
        </is>
      </c>
      <c r="F61" s="9">
        <f>INDEX('Курсы'!$B$4:$B$46,MATCH($E61,'Курсы'!$A$4:$A$46,0))</f>
        <v/>
      </c>
      <c r="G61" s="10" t="n">
        <v>0.01</v>
      </c>
      <c r="H61" s="11" t="n">
        <v>0.39</v>
      </c>
      <c r="I61" s="11" t="n"/>
      <c r="J61" s="11" t="n"/>
      <c r="K61" s="12" t="inlineStr">
        <is>
          <t>да</t>
        </is>
      </c>
      <c r="L61" s="10" t="n">
        <v>0</v>
      </c>
      <c r="M61" s="11" t="n">
        <v>0</v>
      </c>
      <c r="N61" s="12" t="inlineStr">
        <is>
          <t>организатор</t>
        </is>
      </c>
      <c r="O61" s="12" t="inlineStr"/>
      <c r="P61" s="13">
        <f>(MIN(IF($J61="",1E+9,$J61),MAX(IF($I61="",0,$I61),$G61*P$3*$F61+$H61))+IF($K61="да",0,$L61*P$3*$F61+$M61))/$F61</f>
        <v/>
      </c>
      <c r="Q61" s="13">
        <f>(MIN(IF($J61="",1E+9,$J61),MAX(IF($I61="",0,$I61),$G61*Q$3*$F61+$H61))+IF($K61="да",0,$L61*Q$3*$F61+$M61))/$F61</f>
        <v/>
      </c>
      <c r="R61" s="13">
        <f>(MIN(IF($J61="",1E+9,$J61),MAX(IF($I61="",0,$I61),$G61*R$3*$F61+$H61))+IF($K61="да",0,$L61*R$3*$F61+$M61))/$F61</f>
        <v/>
      </c>
      <c r="S61" s="13">
        <f>(MIN(IF($J61="",1E+9,$J61),MAX(IF($I61="",0,$I61),$G61*S$3*$F61+$H61))+IF($K61="да",0,$L61*S$3*$F61+$M61))/$F61</f>
        <v/>
      </c>
      <c r="T61" s="14">
        <f>P61/P$3</f>
        <v/>
      </c>
      <c r="U61" s="14">
        <f>Q61/Q$3</f>
        <v/>
      </c>
      <c r="V61" s="14">
        <f>R61/R$3</f>
        <v/>
      </c>
      <c r="W61" s="14">
        <f>S61/S$3</f>
        <v/>
      </c>
    </row>
    <row r="62">
      <c r="A62" s="16" t="inlineStr">
        <is>
          <t>Собирает на себя</t>
        </is>
      </c>
      <c r="B62" s="16" t="inlineStr">
        <is>
          <t>Fienta</t>
        </is>
      </c>
      <c r="C62" s="16" t="inlineStr">
        <is>
          <t>Глобально</t>
        </is>
      </c>
      <c r="D62" s="16" t="inlineStr">
        <is>
          <t>Paid tickets</t>
        </is>
      </c>
      <c r="E62" s="16" t="inlineStr">
        <is>
          <t>EUR</t>
        </is>
      </c>
      <c r="F62" s="9">
        <f>INDEX('Курсы'!$B$4:$B$46,MATCH($E62,'Курсы'!$A$4:$A$46,0))</f>
        <v/>
      </c>
      <c r="G62" s="10" t="n">
        <v>0.035</v>
      </c>
      <c r="H62" s="11" t="n">
        <v>0</v>
      </c>
      <c r="I62" s="11" t="n">
        <v>0.4</v>
      </c>
      <c r="J62" s="11" t="n"/>
      <c r="K62" s="12" t="inlineStr">
        <is>
          <t>да</t>
        </is>
      </c>
      <c r="L62" s="10" t="n">
        <v>0</v>
      </c>
      <c r="M62" s="11" t="n">
        <v>0</v>
      </c>
      <c r="N62" s="12" t="inlineStr">
        <is>
          <t>организатор</t>
        </is>
      </c>
      <c r="O62" s="12" t="inlineStr">
        <is>
          <t>Страница отдала USD; EUR не подтверждён</t>
        </is>
      </c>
      <c r="P62" s="13">
        <f>(MIN(IF($J62="",1E+9,$J62),MAX(IF($I62="",0,$I62),$G62*P$3*$F62+$H62))+IF($K62="да",0,$L62*P$3*$F62+$M62))/$F62</f>
        <v/>
      </c>
      <c r="Q62" s="13">
        <f>(MIN(IF($J62="",1E+9,$J62),MAX(IF($I62="",0,$I62),$G62*Q$3*$F62+$H62))+IF($K62="да",0,$L62*Q$3*$F62+$M62))/$F62</f>
        <v/>
      </c>
      <c r="R62" s="13">
        <f>(MIN(IF($J62="",1E+9,$J62),MAX(IF($I62="",0,$I62),$G62*R$3*$F62+$H62))+IF($K62="да",0,$L62*R$3*$F62+$M62))/$F62</f>
        <v/>
      </c>
      <c r="S62" s="13">
        <f>(MIN(IF($J62="",1E+9,$J62),MAX(IF($I62="",0,$I62),$G62*S$3*$F62+$H62))+IF($K62="да",0,$L62*S$3*$F62+$M62))/$F62</f>
        <v/>
      </c>
      <c r="T62" s="14">
        <f>P62/P$3</f>
        <v/>
      </c>
      <c r="U62" s="14">
        <f>Q62/Q$3</f>
        <v/>
      </c>
      <c r="V62" s="14">
        <f>R62/R$3</f>
        <v/>
      </c>
      <c r="W62" s="14">
        <f>S62/S$3</f>
        <v/>
      </c>
    </row>
    <row r="63">
      <c r="A63" s="16" t="inlineStr">
        <is>
          <t>Собирает на себя</t>
        </is>
      </c>
      <c r="B63" s="16" t="inlineStr">
        <is>
          <t>Ticketkantoor</t>
        </is>
      </c>
      <c r="C63" s="16" t="inlineStr">
        <is>
          <t>Нидерланды</t>
        </is>
      </c>
      <c r="D63" s="16" t="inlineStr">
        <is>
          <t>All-in</t>
        </is>
      </c>
      <c r="E63" s="16" t="inlineStr">
        <is>
          <t>EUR</t>
        </is>
      </c>
      <c r="F63" s="9">
        <f>INDEX('Курсы'!$B$4:$B$46,MATCH($E63,'Курсы'!$A$4:$A$46,0))</f>
        <v/>
      </c>
      <c r="G63" s="10" t="n">
        <v>0</v>
      </c>
      <c r="H63" s="11" t="n">
        <v>0.8</v>
      </c>
      <c r="I63" s="11" t="n"/>
      <c r="J63" s="11" t="n"/>
      <c r="K63" s="12" t="inlineStr">
        <is>
          <t>да</t>
        </is>
      </c>
      <c r="L63" s="10" t="n">
        <v>0</v>
      </c>
      <c r="M63" s="11" t="n">
        <v>0</v>
      </c>
      <c r="N63" s="12" t="inlineStr">
        <is>
          <t>организатор</t>
        </is>
      </c>
      <c r="O63" s="12" t="inlineStr"/>
      <c r="P63" s="13">
        <f>(MIN(IF($J63="",1E+9,$J63),MAX(IF($I63="",0,$I63),$G63*P$3*$F63+$H63))+IF($K63="да",0,$L63*P$3*$F63+$M63))/$F63</f>
        <v/>
      </c>
      <c r="Q63" s="13">
        <f>(MIN(IF($J63="",1E+9,$J63),MAX(IF($I63="",0,$I63),$G63*Q$3*$F63+$H63))+IF($K63="да",0,$L63*Q$3*$F63+$M63))/$F63</f>
        <v/>
      </c>
      <c r="R63" s="13">
        <f>(MIN(IF($J63="",1E+9,$J63),MAX(IF($I63="",0,$I63),$G63*R$3*$F63+$H63))+IF($K63="да",0,$L63*R$3*$F63+$M63))/$F63</f>
        <v/>
      </c>
      <c r="S63" s="13">
        <f>(MIN(IF($J63="",1E+9,$J63),MAX(IF($I63="",0,$I63),$G63*S$3*$F63+$H63))+IF($K63="да",0,$L63*S$3*$F63+$M63))/$F63</f>
        <v/>
      </c>
      <c r="T63" s="14">
        <f>P63/P$3</f>
        <v/>
      </c>
      <c r="U63" s="14">
        <f>Q63/Q$3</f>
        <v/>
      </c>
      <c r="V63" s="14">
        <f>R63/R$3</f>
        <v/>
      </c>
      <c r="W63" s="14">
        <f>S63/S$3</f>
        <v/>
      </c>
    </row>
    <row r="64">
      <c r="A64" s="16" t="inlineStr">
        <is>
          <t>Собирает на себя</t>
        </is>
      </c>
      <c r="B64" s="16" t="inlineStr">
        <is>
          <t>Billetto</t>
        </is>
      </c>
      <c r="C64" s="16" t="inlineStr">
        <is>
          <t>Европа</t>
        </is>
      </c>
      <c r="D64" s="16" t="inlineStr">
        <is>
          <t>Essential</t>
        </is>
      </c>
      <c r="E64" s="16" t="inlineStr">
        <is>
          <t>EUR</t>
        </is>
      </c>
      <c r="F64" s="9">
        <f>INDEX('Курсы'!$B$4:$B$46,MATCH($E64,'Курсы'!$A$4:$A$46,0))</f>
        <v/>
      </c>
      <c r="G64" s="10" t="n">
        <v>0.0399</v>
      </c>
      <c r="H64" s="11" t="n">
        <v>0.9</v>
      </c>
      <c r="I64" s="11" t="n"/>
      <c r="J64" s="11" t="n"/>
      <c r="K64" s="12" t="inlineStr">
        <is>
          <t>да</t>
        </is>
      </c>
      <c r="L64" s="10" t="n">
        <v>0</v>
      </c>
      <c r="M64" s="11" t="n">
        <v>0</v>
      </c>
      <c r="N64" s="12" t="inlineStr">
        <is>
          <t>покупатель</t>
        </is>
      </c>
      <c r="O64" s="12" t="inlineStr"/>
      <c r="P64" s="13">
        <f>(MIN(IF($J64="",1E+9,$J64),MAX(IF($I64="",0,$I64),$G64*P$3*$F64+$H64))+IF($K64="да",0,$L64*P$3*$F64+$M64))/$F64</f>
        <v/>
      </c>
      <c r="Q64" s="13">
        <f>(MIN(IF($J64="",1E+9,$J64),MAX(IF($I64="",0,$I64),$G64*Q$3*$F64+$H64))+IF($K64="да",0,$L64*Q$3*$F64+$M64))/$F64</f>
        <v/>
      </c>
      <c r="R64" s="13">
        <f>(MIN(IF($J64="",1E+9,$J64),MAX(IF($I64="",0,$I64),$G64*R$3*$F64+$H64))+IF($K64="да",0,$L64*R$3*$F64+$M64))/$F64</f>
        <v/>
      </c>
      <c r="S64" s="13">
        <f>(MIN(IF($J64="",1E+9,$J64),MAX(IF($I64="",0,$I64),$G64*S$3*$F64+$H64))+IF($K64="да",0,$L64*S$3*$F64+$M64))/$F64</f>
        <v/>
      </c>
      <c r="T64" s="14">
        <f>P64/P$3</f>
        <v/>
      </c>
      <c r="U64" s="14">
        <f>Q64/Q$3</f>
        <v/>
      </c>
      <c r="V64" s="14">
        <f>R64/R$3</f>
        <v/>
      </c>
      <c r="W64" s="14">
        <f>S64/S$3</f>
        <v/>
      </c>
    </row>
    <row r="65">
      <c r="A65" s="16" t="inlineStr">
        <is>
          <t>Собирает на себя</t>
        </is>
      </c>
      <c r="B65" s="16" t="inlineStr">
        <is>
          <t>Weeztix (ex-Eventix)</t>
        </is>
      </c>
      <c r="C65" s="16" t="inlineStr">
        <is>
          <t>ЕС</t>
        </is>
      </c>
      <c r="D65" s="16" t="inlineStr">
        <is>
          <t>Стандарт</t>
        </is>
      </c>
      <c r="E65" s="16" t="inlineStr">
        <is>
          <t>EUR</t>
        </is>
      </c>
      <c r="F65" s="9">
        <f>INDEX('Курсы'!$B$4:$B$46,MATCH($E65,'Курсы'!$A$4:$A$46,0))</f>
        <v/>
      </c>
      <c r="G65" s="10" t="n">
        <v>0.0385</v>
      </c>
      <c r="H65" s="11" t="n">
        <v>0.67</v>
      </c>
      <c r="I65" s="11" t="n"/>
      <c r="J65" s="11" t="n"/>
      <c r="K65" s="12" t="inlineStr">
        <is>
          <t>да</t>
        </is>
      </c>
      <c r="L65" s="10" t="n">
        <v>0</v>
      </c>
      <c r="M65" s="11" t="n">
        <v>0</v>
      </c>
      <c r="N65" s="12" t="inlineStr">
        <is>
          <t>покупатель</t>
        </is>
      </c>
      <c r="O65" s="12" t="inlineStr">
        <is>
          <t>Держит ≥10 % выручки до события</t>
        </is>
      </c>
      <c r="P65" s="13">
        <f>(MIN(IF($J65="",1E+9,$J65),MAX(IF($I65="",0,$I65),$G65*P$3*$F65+$H65))+IF($K65="да",0,$L65*P$3*$F65+$M65))/$F65</f>
        <v/>
      </c>
      <c r="Q65" s="13">
        <f>(MIN(IF($J65="",1E+9,$J65),MAX(IF($I65="",0,$I65),$G65*Q$3*$F65+$H65))+IF($K65="да",0,$L65*Q$3*$F65+$M65))/$F65</f>
        <v/>
      </c>
      <c r="R65" s="13">
        <f>(MIN(IF($J65="",1E+9,$J65),MAX(IF($I65="",0,$I65),$G65*R$3*$F65+$H65))+IF($K65="да",0,$L65*R$3*$F65+$M65))/$F65</f>
        <v/>
      </c>
      <c r="S65" s="13">
        <f>(MIN(IF($J65="",1E+9,$J65),MAX(IF($I65="",0,$I65),$G65*S$3*$F65+$H65))+IF($K65="да",0,$L65*S$3*$F65+$M65))/$F65</f>
        <v/>
      </c>
      <c r="T65" s="14">
        <f>P65/P$3</f>
        <v/>
      </c>
      <c r="U65" s="14">
        <f>Q65/Q$3</f>
        <v/>
      </c>
      <c r="V65" s="14">
        <f>R65/R$3</f>
        <v/>
      </c>
      <c r="W65" s="14">
        <f>S65/S$3</f>
        <v/>
      </c>
    </row>
    <row r="66">
      <c r="A66" s="16" t="inlineStr">
        <is>
          <t>Собирает на себя</t>
        </is>
      </c>
      <c r="B66" s="16" t="inlineStr">
        <is>
          <t>DICE</t>
        </is>
      </c>
      <c r="C66" s="16" t="inlineStr">
        <is>
          <t>UK</t>
        </is>
      </c>
      <c r="D66" s="16" t="inlineStr">
        <is>
          <t>Self sign-up</t>
        </is>
      </c>
      <c r="E66" s="16" t="inlineStr">
        <is>
          <t>GBP</t>
        </is>
      </c>
      <c r="F66" s="9">
        <f>INDEX('Курсы'!$B$4:$B$46,MATCH($E66,'Курсы'!$A$4:$A$46,0))</f>
        <v/>
      </c>
      <c r="G66" s="10" t="n">
        <v>0.08500000000000001</v>
      </c>
      <c r="H66" s="11" t="n">
        <v>0</v>
      </c>
      <c r="I66" s="11" t="n">
        <v>1</v>
      </c>
      <c r="J66" s="11" t="n"/>
      <c r="K66" s="12" t="inlineStr">
        <is>
          <t>нет</t>
        </is>
      </c>
      <c r="L66" s="10" t="n">
        <v>0.025</v>
      </c>
      <c r="M66" s="11" t="n">
        <v>0</v>
      </c>
      <c r="N66" s="12" t="inlineStr">
        <is>
          <t>покупатель</t>
        </is>
      </c>
      <c r="O66" s="12" t="inlineStr">
        <is>
          <t>+2,5 % транзакция, +НДС; резерв 5 % на 6 мес.</t>
        </is>
      </c>
      <c r="P66" s="13">
        <f>(MIN(IF($J66="",1E+9,$J66),MAX(IF($I66="",0,$I66),$G66*P$3*$F66+$H66))+IF($K66="да",0,$L66*P$3*$F66+$M66))/$F66</f>
        <v/>
      </c>
      <c r="Q66" s="13">
        <f>(MIN(IF($J66="",1E+9,$J66),MAX(IF($I66="",0,$I66),$G66*Q$3*$F66+$H66))+IF($K66="да",0,$L66*Q$3*$F66+$M66))/$F66</f>
        <v/>
      </c>
      <c r="R66" s="13">
        <f>(MIN(IF($J66="",1E+9,$J66),MAX(IF($I66="",0,$I66),$G66*R$3*$F66+$H66))+IF($K66="да",0,$L66*R$3*$F66+$M66))/$F66</f>
        <v/>
      </c>
      <c r="S66" s="13">
        <f>(MIN(IF($J66="",1E+9,$J66),MAX(IF($I66="",0,$I66),$G66*S$3*$F66+$H66))+IF($K66="да",0,$L66*S$3*$F66+$M66))/$F66</f>
        <v/>
      </c>
      <c r="T66" s="14">
        <f>P66/P$3</f>
        <v/>
      </c>
      <c r="U66" s="14">
        <f>Q66/Q$3</f>
        <v/>
      </c>
      <c r="V66" s="14">
        <f>R66/R$3</f>
        <v/>
      </c>
      <c r="W66" s="14">
        <f>S66/S$3</f>
        <v/>
      </c>
    </row>
    <row r="67">
      <c r="A67" s="16" t="inlineStr">
        <is>
          <t>Собирает на себя</t>
        </is>
      </c>
      <c r="B67" s="16" t="inlineStr">
        <is>
          <t>TicketSource</t>
        </is>
      </c>
      <c r="C67" s="16" t="inlineStr">
        <is>
          <t>UK</t>
        </is>
      </c>
      <c r="D67" s="16" t="inlineStr">
        <is>
          <t>Свой эквайринг TicketSource</t>
        </is>
      </c>
      <c r="E67" s="16" t="inlineStr">
        <is>
          <t>GBP</t>
        </is>
      </c>
      <c r="F67" s="9">
        <f>INDEX('Курсы'!$B$4:$B$46,MATCH($E67,'Курсы'!$A$4:$A$46,0))</f>
        <v/>
      </c>
      <c r="G67" s="10" t="n">
        <v>0.07000000000000001</v>
      </c>
      <c r="H67" s="11" t="n">
        <v>0</v>
      </c>
      <c r="I67" s="11" t="n">
        <v>0.25</v>
      </c>
      <c r="J67" s="11" t="n"/>
      <c r="K67" s="12" t="inlineStr">
        <is>
          <t>да</t>
        </is>
      </c>
      <c r="L67" s="10" t="n">
        <v>0</v>
      </c>
      <c r="M67" s="11" t="n">
        <v>0</v>
      </c>
      <c r="N67" s="12" t="inlineStr">
        <is>
          <t>настраивается</t>
        </is>
      </c>
      <c r="O67" s="12" t="inlineStr">
        <is>
          <t>С заказа; +НДС</t>
        </is>
      </c>
      <c r="P67" s="13">
        <f>(MIN(IF($J67="",1E+9,$J67),MAX(IF($I67="",0,$I67),$G67*P$3*$F67+$H67))+IF($K67="да",0,$L67*P$3*$F67+$M67))/$F67</f>
        <v/>
      </c>
      <c r="Q67" s="13">
        <f>(MIN(IF($J67="",1E+9,$J67),MAX(IF($I67="",0,$I67),$G67*Q$3*$F67+$H67))+IF($K67="да",0,$L67*Q$3*$F67+$M67))/$F67</f>
        <v/>
      </c>
      <c r="R67" s="13">
        <f>(MIN(IF($J67="",1E+9,$J67),MAX(IF($I67="",0,$I67),$G67*R$3*$F67+$H67))+IF($K67="да",0,$L67*R$3*$F67+$M67))/$F67</f>
        <v/>
      </c>
      <c r="S67" s="13">
        <f>(MIN(IF($J67="",1E+9,$J67),MAX(IF($I67="",0,$I67),$G67*S$3*$F67+$H67))+IF($K67="да",0,$L67*S$3*$F67+$M67))/$F67</f>
        <v/>
      </c>
      <c r="T67" s="14">
        <f>P67/P$3</f>
        <v/>
      </c>
      <c r="U67" s="14">
        <f>Q67/Q$3</f>
        <v/>
      </c>
      <c r="V67" s="14">
        <f>R67/R$3</f>
        <v/>
      </c>
      <c r="W67" s="14">
        <f>S67/S$3</f>
        <v/>
      </c>
    </row>
    <row r="68">
      <c r="A68" s="16" t="inlineStr">
        <is>
          <t>Собирает на себя</t>
        </is>
      </c>
      <c r="B68" s="16" t="inlineStr">
        <is>
          <t>Humanitix</t>
        </is>
      </c>
      <c r="C68" s="16" t="inlineStr">
        <is>
          <t>UK</t>
        </is>
      </c>
      <c r="D68" s="16" t="inlineStr">
        <is>
          <t>Standard</t>
        </is>
      </c>
      <c r="E68" s="16" t="inlineStr">
        <is>
          <t>GBP</t>
        </is>
      </c>
      <c r="F68" s="9">
        <f>INDEX('Курсы'!$B$4:$B$46,MATCH($E68,'Курсы'!$A$4:$A$46,0))</f>
        <v/>
      </c>
      <c r="G68" s="10" t="n">
        <v>0.056</v>
      </c>
      <c r="H68" s="11" t="n">
        <v>0.55</v>
      </c>
      <c r="I68" s="11" t="n"/>
      <c r="J68" s="11" t="n"/>
      <c r="K68" s="12" t="inlineStr">
        <is>
          <t>да</t>
        </is>
      </c>
      <c r="L68" s="10" t="n">
        <v>0</v>
      </c>
      <c r="M68" s="11" t="n">
        <v>0</v>
      </c>
      <c r="N68" s="12" t="inlineStr">
        <is>
          <t>покупатель</t>
        </is>
      </c>
      <c r="O68" s="12" t="inlineStr"/>
      <c r="P68" s="13">
        <f>(MIN(IF($J68="",1E+9,$J68),MAX(IF($I68="",0,$I68),$G68*P$3*$F68+$H68))+IF($K68="да",0,$L68*P$3*$F68+$M68))/$F68</f>
        <v/>
      </c>
      <c r="Q68" s="13">
        <f>(MIN(IF($J68="",1E+9,$J68),MAX(IF($I68="",0,$I68),$G68*Q$3*$F68+$H68))+IF($K68="да",0,$L68*Q$3*$F68+$M68))/$F68</f>
        <v/>
      </c>
      <c r="R68" s="13">
        <f>(MIN(IF($J68="",1E+9,$J68),MAX(IF($I68="",0,$I68),$G68*R$3*$F68+$H68))+IF($K68="да",0,$L68*R$3*$F68+$M68))/$F68</f>
        <v/>
      </c>
      <c r="S68" s="13">
        <f>(MIN(IF($J68="",1E+9,$J68),MAX(IF($I68="",0,$I68),$G68*S$3*$F68+$H68))+IF($K68="да",0,$L68*S$3*$F68+$M68))/$F68</f>
        <v/>
      </c>
      <c r="T68" s="14">
        <f>P68/P$3</f>
        <v/>
      </c>
      <c r="U68" s="14">
        <f>Q68/Q$3</f>
        <v/>
      </c>
      <c r="V68" s="14">
        <f>R68/R$3</f>
        <v/>
      </c>
      <c r="W68" s="14">
        <f>S68/S$3</f>
        <v/>
      </c>
    </row>
    <row r="69">
      <c r="A69" s="16" t="inlineStr">
        <is>
          <t>Собирает на себя</t>
        </is>
      </c>
      <c r="B69" s="16" t="inlineStr">
        <is>
          <t>Posh</t>
        </is>
      </c>
      <c r="C69" s="16" t="inlineStr">
        <is>
          <t>США</t>
        </is>
      </c>
      <c r="D69" s="16" t="inlineStr">
        <is>
          <t>Standard</t>
        </is>
      </c>
      <c r="E69" s="16" t="inlineStr">
        <is>
          <t>USD</t>
        </is>
      </c>
      <c r="F69" s="9">
        <f>INDEX('Курсы'!$B$4:$B$46,MATCH($E69,'Курсы'!$A$4:$A$46,0))</f>
        <v/>
      </c>
      <c r="G69" s="10" t="n">
        <v>0.1</v>
      </c>
      <c r="H69" s="11" t="n">
        <v>0.99</v>
      </c>
      <c r="I69" s="11" t="n"/>
      <c r="J69" s="11" t="n"/>
      <c r="K69" s="12" t="inlineStr">
        <is>
          <t>да</t>
        </is>
      </c>
      <c r="L69" s="10" t="n">
        <v>0</v>
      </c>
      <c r="M69" s="11" t="n">
        <v>0</v>
      </c>
      <c r="N69" s="12" t="inlineStr">
        <is>
          <t>покупатель</t>
        </is>
      </c>
      <c r="O69" s="12" t="inlineStr">
        <is>
          <t>[third_party]</t>
        </is>
      </c>
      <c r="P69" s="13">
        <f>(MIN(IF($J69="",1E+9,$J69),MAX(IF($I69="",0,$I69),$G69*P$3*$F69+$H69))+IF($K69="да",0,$L69*P$3*$F69+$M69))/$F69</f>
        <v/>
      </c>
      <c r="Q69" s="13">
        <f>(MIN(IF($J69="",1E+9,$J69),MAX(IF($I69="",0,$I69),$G69*Q$3*$F69+$H69))+IF($K69="да",0,$L69*Q$3*$F69+$M69))/$F69</f>
        <v/>
      </c>
      <c r="R69" s="13">
        <f>(MIN(IF($J69="",1E+9,$J69),MAX(IF($I69="",0,$I69),$G69*R$3*$F69+$H69))+IF($K69="да",0,$L69*R$3*$F69+$M69))/$F69</f>
        <v/>
      </c>
      <c r="S69" s="13">
        <f>(MIN(IF($J69="",1E+9,$J69),MAX(IF($I69="",0,$I69),$G69*S$3*$F69+$H69))+IF($K69="да",0,$L69*S$3*$F69+$M69))/$F69</f>
        <v/>
      </c>
      <c r="T69" s="14">
        <f>P69/P$3</f>
        <v/>
      </c>
      <c r="U69" s="14">
        <f>Q69/Q$3</f>
        <v/>
      </c>
      <c r="V69" s="14">
        <f>R69/R$3</f>
        <v/>
      </c>
      <c r="W69" s="14">
        <f>S69/S$3</f>
        <v/>
      </c>
    </row>
    <row r="70">
      <c r="A70" s="16" t="inlineStr">
        <is>
          <t>Собирает на себя</t>
        </is>
      </c>
      <c r="B70" s="16" t="inlineStr">
        <is>
          <t>Ludus</t>
        </is>
      </c>
      <c r="C70" s="16" t="inlineStr">
        <is>
          <t>США</t>
        </is>
      </c>
      <c r="D70" s="16" t="inlineStr">
        <is>
          <t>Standard</t>
        </is>
      </c>
      <c r="E70" s="16" t="inlineStr">
        <is>
          <t>USD</t>
        </is>
      </c>
      <c r="F70" s="9">
        <f>INDEX('Курсы'!$B$4:$B$46,MATCH($E70,'Курсы'!$A$4:$A$46,0))</f>
        <v/>
      </c>
      <c r="G70" s="10" t="n">
        <v>0.05</v>
      </c>
      <c r="H70" s="11" t="n">
        <v>0.75</v>
      </c>
      <c r="I70" s="11" t="n"/>
      <c r="J70" s="11" t="n"/>
      <c r="K70" s="12" t="inlineStr">
        <is>
          <t>да</t>
        </is>
      </c>
      <c r="L70" s="10" t="n">
        <v>0</v>
      </c>
      <c r="M70" s="11" t="n">
        <v>0</v>
      </c>
      <c r="N70" s="12" t="inlineStr">
        <is>
          <t>настраивается</t>
        </is>
      </c>
      <c r="O70" s="12" t="inlineStr">
        <is>
          <t>Рассадка бесплатно, чарджбэки на Ludus</t>
        </is>
      </c>
      <c r="P70" s="13">
        <f>(MIN(IF($J70="",1E+9,$J70),MAX(IF($I70="",0,$I70),$G70*P$3*$F70+$H70))+IF($K70="да",0,$L70*P$3*$F70+$M70))/$F70</f>
        <v/>
      </c>
      <c r="Q70" s="13">
        <f>(MIN(IF($J70="",1E+9,$J70),MAX(IF($I70="",0,$I70),$G70*Q$3*$F70+$H70))+IF($K70="да",0,$L70*Q$3*$F70+$M70))/$F70</f>
        <v/>
      </c>
      <c r="R70" s="13">
        <f>(MIN(IF($J70="",1E+9,$J70),MAX(IF($I70="",0,$I70),$G70*R$3*$F70+$H70))+IF($K70="да",0,$L70*R$3*$F70+$M70))/$F70</f>
        <v/>
      </c>
      <c r="S70" s="13">
        <f>(MIN(IF($J70="",1E+9,$J70),MAX(IF($I70="",0,$I70),$G70*S$3*$F70+$H70))+IF($K70="да",0,$L70*S$3*$F70+$M70))/$F70</f>
        <v/>
      </c>
      <c r="T70" s="14">
        <f>P70/P$3</f>
        <v/>
      </c>
      <c r="U70" s="14">
        <f>Q70/Q$3</f>
        <v/>
      </c>
      <c r="V70" s="14">
        <f>R70/R$3</f>
        <v/>
      </c>
      <c r="W70" s="14">
        <f>S70/S$3</f>
        <v/>
      </c>
    </row>
    <row r="71">
      <c r="A71" s="16" t="inlineStr">
        <is>
          <t>Собирает на себя</t>
        </is>
      </c>
      <c r="B71" s="16" t="inlineStr">
        <is>
          <t>Showpass</t>
        </is>
      </c>
      <c r="C71" s="16" t="inlineStr">
        <is>
          <t>Канада</t>
        </is>
      </c>
      <c r="D71" s="16" t="inlineStr">
        <is>
          <t>Essential</t>
        </is>
      </c>
      <c r="E71" s="16" t="inlineStr">
        <is>
          <t>CAD</t>
        </is>
      </c>
      <c r="F71" s="9">
        <f>INDEX('Курсы'!$B$4:$B$46,MATCH($E71,'Курсы'!$A$4:$A$46,0))</f>
        <v/>
      </c>
      <c r="G71" s="10" t="n">
        <v>0.01</v>
      </c>
      <c r="H71" s="11" t="n">
        <v>0.59</v>
      </c>
      <c r="I71" s="11" t="n"/>
      <c r="J71" s="11" t="n"/>
      <c r="K71" s="12" t="inlineStr">
        <is>
          <t>нет</t>
        </is>
      </c>
      <c r="L71" s="10" t="n">
        <v>0.029</v>
      </c>
      <c r="M71" s="11" t="n">
        <v>0.3</v>
      </c>
      <c r="N71" s="12" t="inlineStr">
        <is>
          <t>настраивается</t>
        </is>
      </c>
      <c r="O71" s="12" t="inlineStr">
        <is>
          <t>Схемы мест только на Professional</t>
        </is>
      </c>
      <c r="P71" s="13">
        <f>(MIN(IF($J71="",1E+9,$J71),MAX(IF($I71="",0,$I71),$G71*P$3*$F71+$H71))+IF($K71="да",0,$L71*P$3*$F71+$M71))/$F71</f>
        <v/>
      </c>
      <c r="Q71" s="13">
        <f>(MIN(IF($J71="",1E+9,$J71),MAX(IF($I71="",0,$I71),$G71*Q$3*$F71+$H71))+IF($K71="да",0,$L71*Q$3*$F71+$M71))/$F71</f>
        <v/>
      </c>
      <c r="R71" s="13">
        <f>(MIN(IF($J71="",1E+9,$J71),MAX(IF($I71="",0,$I71),$G71*R$3*$F71+$H71))+IF($K71="да",0,$L71*R$3*$F71+$M71))/$F71</f>
        <v/>
      </c>
      <c r="S71" s="13">
        <f>(MIN(IF($J71="",1E+9,$J71),MAX(IF($I71="",0,$I71),$G71*S$3*$F71+$H71))+IF($K71="да",0,$L71*S$3*$F71+$M71))/$F71</f>
        <v/>
      </c>
      <c r="T71" s="14">
        <f>P71/P$3</f>
        <v/>
      </c>
      <c r="U71" s="14">
        <f>Q71/Q$3</f>
        <v/>
      </c>
      <c r="V71" s="14">
        <f>R71/R$3</f>
        <v/>
      </c>
      <c r="W71" s="14">
        <f>S71/S$3</f>
        <v/>
      </c>
    </row>
    <row r="72">
      <c r="A72" s="16" t="inlineStr">
        <is>
          <t>Собирает на себя</t>
        </is>
      </c>
      <c r="B72" s="16" t="inlineStr">
        <is>
          <t>Showpass</t>
        </is>
      </c>
      <c r="C72" s="16" t="inlineStr">
        <is>
          <t>Канада</t>
        </is>
      </c>
      <c r="D72" s="16" t="inlineStr">
        <is>
          <t>Professional (с местами)</t>
        </is>
      </c>
      <c r="E72" s="16" t="inlineStr">
        <is>
          <t>CAD</t>
        </is>
      </c>
      <c r="F72" s="9">
        <f>INDEX('Курсы'!$B$4:$B$46,MATCH($E72,'Курсы'!$A$4:$A$46,0))</f>
        <v/>
      </c>
      <c r="G72" s="10" t="n">
        <v>0.025</v>
      </c>
      <c r="H72" s="11" t="n">
        <v>1.69</v>
      </c>
      <c r="I72" s="11" t="n"/>
      <c r="J72" s="11" t="n"/>
      <c r="K72" s="12" t="inlineStr">
        <is>
          <t>нет</t>
        </is>
      </c>
      <c r="L72" s="10" t="n">
        <v>0.029</v>
      </c>
      <c r="M72" s="11" t="n">
        <v>0.3</v>
      </c>
      <c r="N72" s="12" t="inlineStr">
        <is>
          <t>настраивается</t>
        </is>
      </c>
      <c r="O72" s="12" t="inlineStr"/>
      <c r="P72" s="13">
        <f>(MIN(IF($J72="",1E+9,$J72),MAX(IF($I72="",0,$I72),$G72*P$3*$F72+$H72))+IF($K72="да",0,$L72*P$3*$F72+$M72))/$F72</f>
        <v/>
      </c>
      <c r="Q72" s="13">
        <f>(MIN(IF($J72="",1E+9,$J72),MAX(IF($I72="",0,$I72),$G72*Q$3*$F72+$H72))+IF($K72="да",0,$L72*Q$3*$F72+$M72))/$F72</f>
        <v/>
      </c>
      <c r="R72" s="13">
        <f>(MIN(IF($J72="",1E+9,$J72),MAX(IF($I72="",0,$I72),$G72*R$3*$F72+$H72))+IF($K72="да",0,$L72*R$3*$F72+$M72))/$F72</f>
        <v/>
      </c>
      <c r="S72" s="13">
        <f>(MIN(IF($J72="",1E+9,$J72),MAX(IF($I72="",0,$I72),$G72*S$3*$F72+$H72))+IF($K72="да",0,$L72*S$3*$F72+$M72))/$F72</f>
        <v/>
      </c>
      <c r="T72" s="14">
        <f>P72/P$3</f>
        <v/>
      </c>
      <c r="U72" s="14">
        <f>Q72/Q$3</f>
        <v/>
      </c>
      <c r="V72" s="14">
        <f>R72/R$3</f>
        <v/>
      </c>
      <c r="W72" s="14">
        <f>S72/S$3</f>
        <v/>
      </c>
    </row>
    <row r="73">
      <c r="A73" s="16" t="inlineStr">
        <is>
          <t>Собирает на себя</t>
        </is>
      </c>
      <c r="B73" s="16" t="inlineStr">
        <is>
          <t>Ticketleap</t>
        </is>
      </c>
      <c r="C73" s="16" t="inlineStr">
        <is>
          <t>США</t>
        </is>
      </c>
      <c r="D73" s="16" t="inlineStr">
        <is>
          <t>Standard</t>
        </is>
      </c>
      <c r="E73" s="16" t="inlineStr">
        <is>
          <t>USD</t>
        </is>
      </c>
      <c r="F73" s="9">
        <f>INDEX('Курсы'!$B$4:$B$46,MATCH($E73,'Курсы'!$A$4:$A$46,0))</f>
        <v/>
      </c>
      <c r="G73" s="10" t="n">
        <v>0.02</v>
      </c>
      <c r="H73" s="11" t="n">
        <v>1</v>
      </c>
      <c r="I73" s="11" t="n"/>
      <c r="J73" s="11" t="n">
        <v>20</v>
      </c>
      <c r="K73" s="12" t="inlineStr">
        <is>
          <t>да</t>
        </is>
      </c>
      <c r="L73" s="10" t="n">
        <v>0</v>
      </c>
      <c r="M73" s="11" t="n">
        <v>0</v>
      </c>
      <c r="N73" s="12" t="inlineStr">
        <is>
          <t>настраивается</t>
        </is>
      </c>
      <c r="O73" s="12" t="inlineStr"/>
      <c r="P73" s="13">
        <f>(MIN(IF($J73="",1E+9,$J73),MAX(IF($I73="",0,$I73),$G73*P$3*$F73+$H73))+IF($K73="да",0,$L73*P$3*$F73+$M73))/$F73</f>
        <v/>
      </c>
      <c r="Q73" s="13">
        <f>(MIN(IF($J73="",1E+9,$J73),MAX(IF($I73="",0,$I73),$G73*Q$3*$F73+$H73))+IF($K73="да",0,$L73*Q$3*$F73+$M73))/$F73</f>
        <v/>
      </c>
      <c r="R73" s="13">
        <f>(MIN(IF($J73="",1E+9,$J73),MAX(IF($I73="",0,$I73),$G73*R$3*$F73+$H73))+IF($K73="да",0,$L73*R$3*$F73+$M73))/$F73</f>
        <v/>
      </c>
      <c r="S73" s="13">
        <f>(MIN(IF($J73="",1E+9,$J73),MAX(IF($I73="",0,$I73),$G73*S$3*$F73+$H73))+IF($K73="да",0,$L73*S$3*$F73+$M73))/$F73</f>
        <v/>
      </c>
      <c r="T73" s="14">
        <f>P73/P$3</f>
        <v/>
      </c>
      <c r="U73" s="14">
        <f>Q73/Q$3</f>
        <v/>
      </c>
      <c r="V73" s="14">
        <f>R73/R$3</f>
        <v/>
      </c>
      <c r="W73" s="14">
        <f>S73/S$3</f>
        <v/>
      </c>
    </row>
    <row r="74">
      <c r="A74" s="16" t="inlineStr">
        <is>
          <t>Собирает на себя</t>
        </is>
      </c>
      <c r="B74" s="16" t="inlineStr">
        <is>
          <t>Entradium</t>
        </is>
      </c>
      <c r="C74" s="16" t="inlineStr">
        <is>
          <t>Испания</t>
        </is>
      </c>
      <c r="D74" s="16" t="inlineStr">
        <is>
          <t>Básico</t>
        </is>
      </c>
      <c r="E74" s="16" t="inlineStr">
        <is>
          <t>EUR</t>
        </is>
      </c>
      <c r="F74" s="9">
        <f>INDEX('Курсы'!$B$4:$B$46,MATCH($E74,'Курсы'!$A$4:$A$46,0))</f>
        <v/>
      </c>
      <c r="G74" s="10" t="n">
        <v>0.01</v>
      </c>
      <c r="H74" s="11" t="n">
        <v>0</v>
      </c>
      <c r="I74" s="11" t="n"/>
      <c r="J74" s="11" t="n"/>
      <c r="K74" s="12" t="inlineStr">
        <is>
          <t>да</t>
        </is>
      </c>
      <c r="L74" s="10" t="n">
        <v>0</v>
      </c>
      <c r="M74" s="11" t="n">
        <v>0</v>
      </c>
      <c r="N74" s="12" t="inlineStr">
        <is>
          <t>покупатель</t>
        </is>
      </c>
      <c r="O74" s="12" t="inlineStr">
        <is>
          <t>+IVA 21 % на сбор; в условиях покупателя ещё 2 % + IVA — один это сбор или два, не ясно</t>
        </is>
      </c>
      <c r="P74" s="13">
        <f>(MIN(IF($J74="",1E+9,$J74),MAX(IF($I74="",0,$I74),$G74*P$3*$F74+$H74))+IF($K74="да",0,$L74*P$3*$F74+$M74))/$F74</f>
        <v/>
      </c>
      <c r="Q74" s="13">
        <f>(MIN(IF($J74="",1E+9,$J74),MAX(IF($I74="",0,$I74),$G74*Q$3*$F74+$H74))+IF($K74="да",0,$L74*Q$3*$F74+$M74))/$F74</f>
        <v/>
      </c>
      <c r="R74" s="13">
        <f>(MIN(IF($J74="",1E+9,$J74),MAX(IF($I74="",0,$I74),$G74*R$3*$F74+$H74))+IF($K74="да",0,$L74*R$3*$F74+$M74))/$F74</f>
        <v/>
      </c>
      <c r="S74" s="13">
        <f>(MIN(IF($J74="",1E+9,$J74),MAX(IF($I74="",0,$I74),$G74*S$3*$F74+$H74))+IF($K74="да",0,$L74*S$3*$F74+$M74))/$F74</f>
        <v/>
      </c>
      <c r="T74" s="14">
        <f>P74/P$3</f>
        <v/>
      </c>
      <c r="U74" s="14">
        <f>Q74/Q$3</f>
        <v/>
      </c>
      <c r="V74" s="14">
        <f>R74/R$3</f>
        <v/>
      </c>
      <c r="W74" s="14">
        <f>S74/S$3</f>
        <v/>
      </c>
    </row>
    <row r="75">
      <c r="A75" s="16" t="inlineStr">
        <is>
          <t>Собирает на себя</t>
        </is>
      </c>
      <c r="B75" s="16" t="inlineStr">
        <is>
          <t>Vivetix</t>
        </is>
      </c>
      <c r="C75" s="16" t="inlineStr">
        <is>
          <t>Испания</t>
        </is>
      </c>
      <c r="D75" s="16" t="inlineStr">
        <is>
          <t>Tarifa base</t>
        </is>
      </c>
      <c r="E75" s="16" t="inlineStr">
        <is>
          <t>EUR</t>
        </is>
      </c>
      <c r="F75" s="9">
        <f>INDEX('Курсы'!$B$4:$B$46,MATCH($E75,'Курсы'!$A$4:$A$46,0))</f>
        <v/>
      </c>
      <c r="G75" s="10" t="n">
        <v>0.01</v>
      </c>
      <c r="H75" s="11" t="n">
        <v>0.1</v>
      </c>
      <c r="I75" s="11" t="n"/>
      <c r="J75" s="11" t="n"/>
      <c r="K75" s="12" t="inlineStr">
        <is>
          <t>да</t>
        </is>
      </c>
      <c r="L75" s="10" t="n">
        <v>0</v>
      </c>
      <c r="M75" s="11" t="n">
        <v>0</v>
      </c>
      <c r="N75" s="12" t="inlineStr">
        <is>
          <t>настраивается</t>
        </is>
      </c>
      <c r="O75" s="12" t="inlineStr">
        <is>
          <t>+IVA; ранняя выплата +10 %</t>
        </is>
      </c>
      <c r="P75" s="13">
        <f>(MIN(IF($J75="",1E+9,$J75),MAX(IF($I75="",0,$I75),$G75*P$3*$F75+$H75))+IF($K75="да",0,$L75*P$3*$F75+$M75))/$F75</f>
        <v/>
      </c>
      <c r="Q75" s="13">
        <f>(MIN(IF($J75="",1E+9,$J75),MAX(IF($I75="",0,$I75),$G75*Q$3*$F75+$H75))+IF($K75="да",0,$L75*Q$3*$F75+$M75))/$F75</f>
        <v/>
      </c>
      <c r="R75" s="13">
        <f>(MIN(IF($J75="",1E+9,$J75),MAX(IF($I75="",0,$I75),$G75*R$3*$F75+$H75))+IF($K75="да",0,$L75*R$3*$F75+$M75))/$F75</f>
        <v/>
      </c>
      <c r="S75" s="13">
        <f>(MIN(IF($J75="",1E+9,$J75),MAX(IF($I75="",0,$I75),$G75*S$3*$F75+$H75))+IF($K75="да",0,$L75*S$3*$F75+$M75))/$F75</f>
        <v/>
      </c>
      <c r="T75" s="14">
        <f>P75/P$3</f>
        <v/>
      </c>
      <c r="U75" s="14">
        <f>Q75/Q$3</f>
        <v/>
      </c>
      <c r="V75" s="14">
        <f>R75/R$3</f>
        <v/>
      </c>
      <c r="W75" s="14">
        <f>S75/S$3</f>
        <v/>
      </c>
    </row>
    <row r="76">
      <c r="A76" s="16" t="inlineStr">
        <is>
          <t>Собирает на себя</t>
        </is>
      </c>
      <c r="B76" s="16" t="inlineStr">
        <is>
          <t>Tuk Tuk</t>
        </is>
      </c>
      <c r="C76" s="16" t="inlineStr">
        <is>
          <t>Испания</t>
        </is>
      </c>
      <c r="D76" s="16" t="inlineStr">
        <is>
          <t>Basic</t>
        </is>
      </c>
      <c r="E76" s="16" t="inlineStr">
        <is>
          <t>EUR</t>
        </is>
      </c>
      <c r="F76" s="9">
        <f>INDEX('Курсы'!$B$4:$B$46,MATCH($E76,'Курсы'!$A$4:$A$46,0))</f>
        <v/>
      </c>
      <c r="G76" s="10" t="n">
        <v>0.08</v>
      </c>
      <c r="H76" s="11" t="n">
        <v>0</v>
      </c>
      <c r="I76" s="11" t="n"/>
      <c r="J76" s="11" t="n"/>
      <c r="K76" s="12" t="inlineStr">
        <is>
          <t>да</t>
        </is>
      </c>
      <c r="L76" s="10" t="n">
        <v>0</v>
      </c>
      <c r="M76" s="11" t="n">
        <v>0</v>
      </c>
      <c r="N76" s="12" t="inlineStr">
        <is>
          <t>настраивается</t>
        </is>
      </c>
      <c r="O76" s="12" t="inlineStr"/>
      <c r="P76" s="13">
        <f>(MIN(IF($J76="",1E+9,$J76),MAX(IF($I76="",0,$I76),$G76*P$3*$F76+$H76))+IF($K76="да",0,$L76*P$3*$F76+$M76))/$F76</f>
        <v/>
      </c>
      <c r="Q76" s="13">
        <f>(MIN(IF($J76="",1E+9,$J76),MAX(IF($I76="",0,$I76),$G76*Q$3*$F76+$H76))+IF($K76="да",0,$L76*Q$3*$F76+$M76))/$F76</f>
        <v/>
      </c>
      <c r="R76" s="13">
        <f>(MIN(IF($J76="",1E+9,$J76),MAX(IF($I76="",0,$I76),$G76*R$3*$F76+$H76))+IF($K76="да",0,$L76*R$3*$F76+$M76))/$F76</f>
        <v/>
      </c>
      <c r="S76" s="13">
        <f>(MIN(IF($J76="",1E+9,$J76),MAX(IF($I76="",0,$I76),$G76*S$3*$F76+$H76))+IF($K76="да",0,$L76*S$3*$F76+$M76))/$F76</f>
        <v/>
      </c>
      <c r="T76" s="14">
        <f>P76/P$3</f>
        <v/>
      </c>
      <c r="U76" s="14">
        <f>Q76/Q$3</f>
        <v/>
      </c>
      <c r="V76" s="14">
        <f>R76/R$3</f>
        <v/>
      </c>
      <c r="W76" s="14">
        <f>S76/S$3</f>
        <v/>
      </c>
    </row>
    <row r="77">
      <c r="A77" s="16" t="inlineStr">
        <is>
          <t>Собирает на себя</t>
        </is>
      </c>
      <c r="B77" s="16" t="inlineStr">
        <is>
          <t>More.com</t>
        </is>
      </c>
      <c r="C77" s="16" t="inlineStr">
        <is>
          <t>Греция / Кипр</t>
        </is>
      </c>
      <c r="D77" s="16" t="inlineStr">
        <is>
          <t>Teller</t>
        </is>
      </c>
      <c r="E77" s="16" t="inlineStr">
        <is>
          <t>EUR</t>
        </is>
      </c>
      <c r="F77" s="9">
        <f>INDEX('Курсы'!$B$4:$B$46,MATCH($E77,'Курсы'!$A$4:$A$46,0))</f>
        <v/>
      </c>
      <c r="G77" s="10" t="n">
        <v>0</v>
      </c>
      <c r="H77" s="11" t="n">
        <v>0</v>
      </c>
      <c r="I77" s="11" t="n"/>
      <c r="J77" s="11" t="n"/>
      <c r="K77" s="12" t="inlineStr">
        <is>
          <t>нет</t>
        </is>
      </c>
      <c r="L77" s="10" t="n">
        <v>0.024</v>
      </c>
      <c r="M77" s="11" t="n">
        <v>0.24</v>
      </c>
      <c r="N77" s="12" t="inlineStr">
        <is>
          <t>—</t>
        </is>
      </c>
      <c r="O77" s="12" t="inlineStr">
        <is>
          <t>0 % платформы, только банковские ~2,4 % + 0,24</t>
        </is>
      </c>
      <c r="P77" s="13">
        <f>(MIN(IF($J77="",1E+9,$J77),MAX(IF($I77="",0,$I77),$G77*P$3*$F77+$H77))+IF($K77="да",0,$L77*P$3*$F77+$M77))/$F77</f>
        <v/>
      </c>
      <c r="Q77" s="13">
        <f>(MIN(IF($J77="",1E+9,$J77),MAX(IF($I77="",0,$I77),$G77*Q$3*$F77+$H77))+IF($K77="да",0,$L77*Q$3*$F77+$M77))/$F77</f>
        <v/>
      </c>
      <c r="R77" s="13">
        <f>(MIN(IF($J77="",1E+9,$J77),MAX(IF($I77="",0,$I77),$G77*R$3*$F77+$H77))+IF($K77="да",0,$L77*R$3*$F77+$M77))/$F77</f>
        <v/>
      </c>
      <c r="S77" s="13">
        <f>(MIN(IF($J77="",1E+9,$J77),MAX(IF($I77="",0,$I77),$G77*S$3*$F77+$H77))+IF($K77="да",0,$L77*S$3*$F77+$M77))/$F77</f>
        <v/>
      </c>
      <c r="T77" s="14">
        <f>P77/P$3</f>
        <v/>
      </c>
      <c r="U77" s="14">
        <f>Q77/Q$3</f>
        <v/>
      </c>
      <c r="V77" s="14">
        <f>R77/R$3</f>
        <v/>
      </c>
      <c r="W77" s="14">
        <f>S77/S$3</f>
        <v/>
      </c>
    </row>
    <row r="78">
      <c r="A78" s="16" t="inlineStr">
        <is>
          <t>Собирает на себя</t>
        </is>
      </c>
      <c r="B78" s="16" t="inlineStr">
        <is>
          <t>GoOut / Ticketportal (PLG)</t>
        </is>
      </c>
      <c r="C78" s="16" t="inlineStr">
        <is>
          <t>Чехия</t>
        </is>
      </c>
      <c r="D78" s="16" t="inlineStr">
        <is>
          <t>Типичный договор</t>
        </is>
      </c>
      <c r="E78" s="16" t="inlineStr">
        <is>
          <t>CZK</t>
        </is>
      </c>
      <c r="F78" s="9">
        <f>INDEX('Курсы'!$B$4:$B$46,MATCH($E78,'Курсы'!$A$4:$A$46,0))</f>
        <v/>
      </c>
      <c r="G78" s="10" t="n">
        <v>0.08</v>
      </c>
      <c r="H78" s="11" t="n">
        <v>0</v>
      </c>
      <c r="I78" s="11" t="n">
        <v>5</v>
      </c>
      <c r="J78" s="11" t="n"/>
      <c r="K78" s="12" t="inlineStr">
        <is>
          <t>да</t>
        </is>
      </c>
      <c r="L78" s="10" t="n">
        <v>0</v>
      </c>
      <c r="M78" s="11" t="n">
        <v>0</v>
      </c>
      <c r="N78" s="12" t="inlineStr">
        <is>
          <t>организатор + покупатель</t>
        </is>
      </c>
      <c r="O78" s="12" t="inlineStr">
        <is>
          <t>+3,5 % с покупателя (мин 10, макс 500 CZK); цифры из прессы [third_party]</t>
        </is>
      </c>
      <c r="P78" s="13">
        <f>(MIN(IF($J78="",1E+9,$J78),MAX(IF($I78="",0,$I78),$G78*P$3*$F78+$H78))+IF($K78="да",0,$L78*P$3*$F78+$M78))/$F78</f>
        <v/>
      </c>
      <c r="Q78" s="13">
        <f>(MIN(IF($J78="",1E+9,$J78),MAX(IF($I78="",0,$I78),$G78*Q$3*$F78+$H78))+IF($K78="да",0,$L78*Q$3*$F78+$M78))/$F78</f>
        <v/>
      </c>
      <c r="R78" s="13">
        <f>(MIN(IF($J78="",1E+9,$J78),MAX(IF($I78="",0,$I78),$G78*R$3*$F78+$H78))+IF($K78="да",0,$L78*R$3*$F78+$M78))/$F78</f>
        <v/>
      </c>
      <c r="S78" s="13">
        <f>(MIN(IF($J78="",1E+9,$J78),MAX(IF($I78="",0,$I78),$G78*S$3*$F78+$H78))+IF($K78="да",0,$L78*S$3*$F78+$M78))/$F78</f>
        <v/>
      </c>
      <c r="T78" s="14">
        <f>P78/P$3</f>
        <v/>
      </c>
      <c r="U78" s="14">
        <f>Q78/Q$3</f>
        <v/>
      </c>
      <c r="V78" s="14">
        <f>R78/R$3</f>
        <v/>
      </c>
      <c r="W78" s="14">
        <f>S78/S$3</f>
        <v/>
      </c>
    </row>
    <row r="79">
      <c r="A79" s="16" t="inlineStr">
        <is>
          <t>Собирает на себя</t>
        </is>
      </c>
      <c r="B79" s="16" t="inlineStr">
        <is>
          <t>SMSticket</t>
        </is>
      </c>
      <c r="C79" s="16" t="inlineStr">
        <is>
          <t>Чехия</t>
        </is>
      </c>
      <c r="D79" s="16" t="inlineStr">
        <is>
          <t>Standard</t>
        </is>
      </c>
      <c r="E79" s="16" t="inlineStr">
        <is>
          <t>CZK</t>
        </is>
      </c>
      <c r="F79" s="9">
        <f>INDEX('Курсы'!$B$4:$B$46,MATCH($E79,'Курсы'!$A$4:$A$46,0))</f>
        <v/>
      </c>
      <c r="G79" s="10" t="n">
        <v>0.05</v>
      </c>
      <c r="H79" s="11" t="n">
        <v>0</v>
      </c>
      <c r="I79" s="11" t="n">
        <v>5</v>
      </c>
      <c r="J79" s="11" t="n"/>
      <c r="K79" s="12" t="inlineStr">
        <is>
          <t>да</t>
        </is>
      </c>
      <c r="L79" s="10" t="n">
        <v>0</v>
      </c>
      <c r="M79" s="11" t="n">
        <v>0</v>
      </c>
      <c r="N79" s="12" t="inlineStr">
        <is>
          <t>организатор</t>
        </is>
      </c>
      <c r="O79" s="12" t="inlineStr">
        <is>
          <t>+10 CZK с заказа; выплата за 24 ч</t>
        </is>
      </c>
      <c r="P79" s="13">
        <f>(MIN(IF($J79="",1E+9,$J79),MAX(IF($I79="",0,$I79),$G79*P$3*$F79+$H79))+IF($K79="да",0,$L79*P$3*$F79+$M79))/$F79</f>
        <v/>
      </c>
      <c r="Q79" s="13">
        <f>(MIN(IF($J79="",1E+9,$J79),MAX(IF($I79="",0,$I79),$G79*Q$3*$F79+$H79))+IF($K79="да",0,$L79*Q$3*$F79+$M79))/$F79</f>
        <v/>
      </c>
      <c r="R79" s="13">
        <f>(MIN(IF($J79="",1E+9,$J79),MAX(IF($I79="",0,$I79),$G79*R$3*$F79+$H79))+IF($K79="да",0,$L79*R$3*$F79+$M79))/$F79</f>
        <v/>
      </c>
      <c r="S79" s="13">
        <f>(MIN(IF($J79="",1E+9,$J79),MAX(IF($I79="",0,$I79),$G79*S$3*$F79+$H79))+IF($K79="да",0,$L79*S$3*$F79+$M79))/$F79</f>
        <v/>
      </c>
      <c r="T79" s="14">
        <f>P79/P$3</f>
        <v/>
      </c>
      <c r="U79" s="14">
        <f>Q79/Q$3</f>
        <v/>
      </c>
      <c r="V79" s="14">
        <f>R79/R$3</f>
        <v/>
      </c>
      <c r="W79" s="14">
        <f>S79/S$3</f>
        <v/>
      </c>
    </row>
    <row r="80">
      <c r="A80" s="16" t="inlineStr">
        <is>
          <t>Собирает на себя</t>
        </is>
      </c>
      <c r="B80" s="16" t="inlineStr">
        <is>
          <t>Ticketstream</t>
        </is>
      </c>
      <c r="C80" s="16" t="inlineStr">
        <is>
          <t>Чехия</t>
        </is>
      </c>
      <c r="D80" s="16" t="inlineStr">
        <is>
          <t>По умолчанию</t>
        </is>
      </c>
      <c r="E80" s="16" t="inlineStr">
        <is>
          <t>CZK</t>
        </is>
      </c>
      <c r="F80" s="9">
        <f>INDEX('Курсы'!$B$4:$B$46,MATCH($E80,'Курсы'!$A$4:$A$46,0))</f>
        <v/>
      </c>
      <c r="G80" s="10" t="n">
        <v>0.1</v>
      </c>
      <c r="H80" s="11" t="n">
        <v>0</v>
      </c>
      <c r="I80" s="11" t="n"/>
      <c r="J80" s="11" t="n"/>
      <c r="K80" s="12" t="inlineStr">
        <is>
          <t>нет</t>
        </is>
      </c>
      <c r="L80" s="10" t="n">
        <v>0.015</v>
      </c>
      <c r="M80" s="11" t="n">
        <v>6.5</v>
      </c>
      <c r="N80" s="12" t="inlineStr">
        <is>
          <t>настраивается</t>
        </is>
      </c>
      <c r="O80" s="12" t="inlineStr">
        <is>
          <t>Условия 2022 г.</t>
        </is>
      </c>
      <c r="P80" s="13">
        <f>(MIN(IF($J80="",1E+9,$J80),MAX(IF($I80="",0,$I80),$G80*P$3*$F80+$H80))+IF($K80="да",0,$L80*P$3*$F80+$M80))/$F80</f>
        <v/>
      </c>
      <c r="Q80" s="13">
        <f>(MIN(IF($J80="",1E+9,$J80),MAX(IF($I80="",0,$I80),$G80*Q$3*$F80+$H80))+IF($K80="да",0,$L80*Q$3*$F80+$M80))/$F80</f>
        <v/>
      </c>
      <c r="R80" s="13">
        <f>(MIN(IF($J80="",1E+9,$J80),MAX(IF($I80="",0,$I80),$G80*R$3*$F80+$H80))+IF($K80="да",0,$L80*R$3*$F80+$M80))/$F80</f>
        <v/>
      </c>
      <c r="S80" s="13">
        <f>(MIN(IF($J80="",1E+9,$J80),MAX(IF($I80="",0,$I80),$G80*S$3*$F80+$H80))+IF($K80="да",0,$L80*S$3*$F80+$M80))/$F80</f>
        <v/>
      </c>
      <c r="T80" s="14">
        <f>P80/P$3</f>
        <v/>
      </c>
      <c r="U80" s="14">
        <f>Q80/Q$3</f>
        <v/>
      </c>
      <c r="V80" s="14">
        <f>R80/R$3</f>
        <v/>
      </c>
      <c r="W80" s="14">
        <f>S80/S$3</f>
        <v/>
      </c>
    </row>
    <row r="81">
      <c r="A81" s="16" t="inlineStr">
        <is>
          <t>Собирает на себя</t>
        </is>
      </c>
      <c r="B81" s="16" t="inlineStr">
        <is>
          <t>Inviton</t>
        </is>
      </c>
      <c r="C81" s="16" t="inlineStr">
        <is>
          <t>Словакия</t>
        </is>
      </c>
      <c r="D81" s="16" t="inlineStr">
        <is>
          <t>Standard</t>
        </is>
      </c>
      <c r="E81" s="16" t="inlineStr">
        <is>
          <t>EUR</t>
        </is>
      </c>
      <c r="F81" s="9">
        <f>INDEX('Курсы'!$B$4:$B$46,MATCH($E81,'Курсы'!$A$4:$A$46,0))</f>
        <v/>
      </c>
      <c r="G81" s="10" t="n">
        <v>0.05</v>
      </c>
      <c r="H81" s="11" t="n">
        <v>0</v>
      </c>
      <c r="I81" s="11" t="n">
        <v>0.6</v>
      </c>
      <c r="J81" s="11" t="n"/>
      <c r="K81" s="12" t="inlineStr">
        <is>
          <t>да</t>
        </is>
      </c>
      <c r="L81" s="10" t="n">
        <v>0</v>
      </c>
      <c r="M81" s="11" t="n">
        <v>0</v>
      </c>
      <c r="N81" s="12" t="inlineStr">
        <is>
          <t>организатор</t>
        </is>
      </c>
      <c r="O81" s="12" t="inlineStr"/>
      <c r="P81" s="13">
        <f>(MIN(IF($J81="",1E+9,$J81),MAX(IF($I81="",0,$I81),$G81*P$3*$F81+$H81))+IF($K81="да",0,$L81*P$3*$F81+$M81))/$F81</f>
        <v/>
      </c>
      <c r="Q81" s="13">
        <f>(MIN(IF($J81="",1E+9,$J81),MAX(IF($I81="",0,$I81),$G81*Q$3*$F81+$H81))+IF($K81="да",0,$L81*Q$3*$F81+$M81))/$F81</f>
        <v/>
      </c>
      <c r="R81" s="13">
        <f>(MIN(IF($J81="",1E+9,$J81),MAX(IF($I81="",0,$I81),$G81*R$3*$F81+$H81))+IF($K81="да",0,$L81*R$3*$F81+$M81))/$F81</f>
        <v/>
      </c>
      <c r="S81" s="13">
        <f>(MIN(IF($J81="",1E+9,$J81),MAX(IF($I81="",0,$I81),$G81*S$3*$F81+$H81))+IF($K81="да",0,$L81*S$3*$F81+$M81))/$F81</f>
        <v/>
      </c>
      <c r="T81" s="14">
        <f>P81/P$3</f>
        <v/>
      </c>
      <c r="U81" s="14">
        <f>Q81/Q$3</f>
        <v/>
      </c>
      <c r="V81" s="14">
        <f>R81/R$3</f>
        <v/>
      </c>
      <c r="W81" s="14">
        <f>S81/S$3</f>
        <v/>
      </c>
    </row>
    <row r="82">
      <c r="A82" s="16" t="inlineStr">
        <is>
          <t>Собирает на себя</t>
        </is>
      </c>
      <c r="B82" s="16" t="inlineStr">
        <is>
          <t>Going.</t>
        </is>
      </c>
      <c r="C82" s="16" t="inlineStr">
        <is>
          <t>Польша</t>
        </is>
      </c>
      <c r="D82" s="16" t="inlineStr">
        <is>
          <t>Тариф</t>
        </is>
      </c>
      <c r="E82" s="16" t="inlineStr">
        <is>
          <t>PLN</t>
        </is>
      </c>
      <c r="F82" s="9">
        <f>INDEX('Курсы'!$B$4:$B$46,MATCH($E82,'Курсы'!$A$4:$A$46,0))</f>
        <v/>
      </c>
      <c r="G82" s="10" t="n">
        <v>0.1</v>
      </c>
      <c r="H82" s="11" t="n">
        <v>0</v>
      </c>
      <c r="I82" s="11" t="n"/>
      <c r="J82" s="11" t="n"/>
      <c r="K82" s="12" t="inlineStr">
        <is>
          <t>нет</t>
        </is>
      </c>
      <c r="L82" s="10" t="n">
        <v>0.015</v>
      </c>
      <c r="M82" s="11" t="n">
        <v>1</v>
      </c>
      <c r="N82" s="12" t="inlineStr">
        <is>
          <t>покупатель + организатор</t>
        </is>
      </c>
      <c r="O82" s="12" t="inlineStr"/>
      <c r="P82" s="13">
        <f>(MIN(IF($J82="",1E+9,$J82),MAX(IF($I82="",0,$I82),$G82*P$3*$F82+$H82))+IF($K82="да",0,$L82*P$3*$F82+$M82))/$F82</f>
        <v/>
      </c>
      <c r="Q82" s="13">
        <f>(MIN(IF($J82="",1E+9,$J82),MAX(IF($I82="",0,$I82),$G82*Q$3*$F82+$H82))+IF($K82="да",0,$L82*Q$3*$F82+$M82))/$F82</f>
        <v/>
      </c>
      <c r="R82" s="13">
        <f>(MIN(IF($J82="",1E+9,$J82),MAX(IF($I82="",0,$I82),$G82*R$3*$F82+$H82))+IF($K82="да",0,$L82*R$3*$F82+$M82))/$F82</f>
        <v/>
      </c>
      <c r="S82" s="13">
        <f>(MIN(IF($J82="",1E+9,$J82),MAX(IF($I82="",0,$I82),$G82*S$3*$F82+$H82))+IF($K82="да",0,$L82*S$3*$F82+$M82))/$F82</f>
        <v/>
      </c>
      <c r="T82" s="14">
        <f>P82/P$3</f>
        <v/>
      </c>
      <c r="U82" s="14">
        <f>Q82/Q$3</f>
        <v/>
      </c>
      <c r="V82" s="14">
        <f>R82/R$3</f>
        <v/>
      </c>
      <c r="W82" s="14">
        <f>S82/S$3</f>
        <v/>
      </c>
    </row>
    <row r="83">
      <c r="A83" s="16" t="inlineStr">
        <is>
          <t>Собирает на себя</t>
        </is>
      </c>
      <c r="B83" s="16" t="inlineStr">
        <is>
          <t>Bilet.bg</t>
        </is>
      </c>
      <c r="C83" s="16" t="inlineStr">
        <is>
          <t>Болгария</t>
        </is>
      </c>
      <c r="D83" s="16" t="inlineStr">
        <is>
          <t>Эксклюзив</t>
        </is>
      </c>
      <c r="E83" s="16" t="inlineStr">
        <is>
          <t>BGN</t>
        </is>
      </c>
      <c r="F83" s="9">
        <f>INDEX('Курсы'!$B$4:$B$46,MATCH($E83,'Курсы'!$A$4:$A$46,0))</f>
        <v/>
      </c>
      <c r="G83" s="10" t="n">
        <v>0.06</v>
      </c>
      <c r="H83" s="11" t="n">
        <v>0</v>
      </c>
      <c r="I83" s="11" t="n"/>
      <c r="J83" s="11" t="n"/>
      <c r="K83" s="12" t="inlineStr">
        <is>
          <t>нет</t>
        </is>
      </c>
      <c r="L83" s="10" t="n">
        <v>0.015</v>
      </c>
      <c r="M83" s="11" t="n">
        <v>0.49</v>
      </c>
      <c r="N83" s="12" t="inlineStr">
        <is>
          <t>организатор</t>
        </is>
      </c>
      <c r="O83" s="12" t="inlineStr"/>
      <c r="P83" s="13">
        <f>(MIN(IF($J83="",1E+9,$J83),MAX(IF($I83="",0,$I83),$G83*P$3*$F83+$H83))+IF($K83="да",0,$L83*P$3*$F83+$M83))/$F83</f>
        <v/>
      </c>
      <c r="Q83" s="13">
        <f>(MIN(IF($J83="",1E+9,$J83),MAX(IF($I83="",0,$I83),$G83*Q$3*$F83+$H83))+IF($K83="да",0,$L83*Q$3*$F83+$M83))/$F83</f>
        <v/>
      </c>
      <c r="R83" s="13">
        <f>(MIN(IF($J83="",1E+9,$J83),MAX(IF($I83="",0,$I83),$G83*R$3*$F83+$H83))+IF($K83="да",0,$L83*R$3*$F83+$M83))/$F83</f>
        <v/>
      </c>
      <c r="S83" s="13">
        <f>(MIN(IF($J83="",1E+9,$J83),MAX(IF($I83="",0,$I83),$G83*S$3*$F83+$H83))+IF($K83="да",0,$L83*S$3*$F83+$M83))/$F83</f>
        <v/>
      </c>
      <c r="T83" s="14">
        <f>P83/P$3</f>
        <v/>
      </c>
      <c r="U83" s="14">
        <f>Q83/Q$3</f>
        <v/>
      </c>
      <c r="V83" s="14">
        <f>R83/R$3</f>
        <v/>
      </c>
      <c r="W83" s="14">
        <f>S83/S$3</f>
        <v/>
      </c>
    </row>
    <row r="84">
      <c r="A84" s="16" t="inlineStr">
        <is>
          <t>Собирает на себя</t>
        </is>
      </c>
      <c r="B84" s="16" t="inlineStr">
        <is>
          <t>Entrio</t>
        </is>
      </c>
      <c r="C84" s="16" t="inlineStr">
        <is>
          <t>Хорватия</t>
        </is>
      </c>
      <c r="D84" s="16" t="inlineStr">
        <is>
          <t>Стандарт</t>
        </is>
      </c>
      <c r="E84" s="16" t="inlineStr">
        <is>
          <t>EUR</t>
        </is>
      </c>
      <c r="F84" s="9">
        <f>INDEX('Курсы'!$B$4:$B$46,MATCH($E84,'Курсы'!$A$4:$A$46,0))</f>
        <v/>
      </c>
      <c r="G84" s="10" t="n">
        <v>0.08500000000000001</v>
      </c>
      <c r="H84" s="11" t="n">
        <v>0</v>
      </c>
      <c r="I84" s="11" t="n"/>
      <c r="J84" s="11" t="n"/>
      <c r="K84" s="12" t="inlineStr">
        <is>
          <t>нет</t>
        </is>
      </c>
      <c r="L84" s="10" t="n">
        <v>0.015</v>
      </c>
      <c r="M84" s="11" t="n">
        <v>0.25</v>
      </c>
      <c r="N84" s="12" t="inlineStr">
        <is>
          <t>покупатель</t>
        </is>
      </c>
      <c r="O84" s="12" t="inlineStr">
        <is>
          <t>+НДС [snippet]</t>
        </is>
      </c>
      <c r="P84" s="13">
        <f>(MIN(IF($J84="",1E+9,$J84),MAX(IF($I84="",0,$I84),$G84*P$3*$F84+$H84))+IF($K84="да",0,$L84*P$3*$F84+$M84))/$F84</f>
        <v/>
      </c>
      <c r="Q84" s="13">
        <f>(MIN(IF($J84="",1E+9,$J84),MAX(IF($I84="",0,$I84),$G84*Q$3*$F84+$H84))+IF($K84="да",0,$L84*Q$3*$F84+$M84))/$F84</f>
        <v/>
      </c>
      <c r="R84" s="13">
        <f>(MIN(IF($J84="",1E+9,$J84),MAX(IF($I84="",0,$I84),$G84*R$3*$F84+$H84))+IF($K84="да",0,$L84*R$3*$F84+$M84))/$F84</f>
        <v/>
      </c>
      <c r="S84" s="13">
        <f>(MIN(IF($J84="",1E+9,$J84),MAX(IF($I84="",0,$I84),$G84*S$3*$F84+$H84))+IF($K84="да",0,$L84*S$3*$F84+$M84))/$F84</f>
        <v/>
      </c>
      <c r="T84" s="14">
        <f>P84/P$3</f>
        <v/>
      </c>
      <c r="U84" s="14">
        <f>Q84/Q$3</f>
        <v/>
      </c>
      <c r="V84" s="14">
        <f>R84/R$3</f>
        <v/>
      </c>
      <c r="W84" s="14">
        <f>S84/S$3</f>
        <v/>
      </c>
    </row>
    <row r="85">
      <c r="A85" s="16" t="inlineStr">
        <is>
          <t>Собирает на себя</t>
        </is>
      </c>
      <c r="B85" s="16" t="inlineStr">
        <is>
          <t>Adriaticket</t>
        </is>
      </c>
      <c r="C85" s="16" t="inlineStr">
        <is>
          <t>Хорватия</t>
        </is>
      </c>
      <c r="D85" s="16" t="inlineStr">
        <is>
          <t>Standard</t>
        </is>
      </c>
      <c r="E85" s="16" t="inlineStr">
        <is>
          <t>EUR</t>
        </is>
      </c>
      <c r="F85" s="9">
        <f>INDEX('Курсы'!$B$4:$B$46,MATCH($E85,'Курсы'!$A$4:$A$46,0))</f>
        <v/>
      </c>
      <c r="G85" s="10" t="n">
        <v>0.039</v>
      </c>
      <c r="H85" s="11" t="n">
        <v>0</v>
      </c>
      <c r="I85" s="11" t="n"/>
      <c r="J85" s="11" t="n"/>
      <c r="K85" s="12" t="inlineStr">
        <is>
          <t>да</t>
        </is>
      </c>
      <c r="L85" s="10" t="n">
        <v>0</v>
      </c>
      <c r="M85" s="11" t="n">
        <v>0</v>
      </c>
      <c r="N85" s="12" t="inlineStr">
        <is>
          <t>организатор</t>
        </is>
      </c>
      <c r="O85" s="12" t="inlineStr"/>
      <c r="P85" s="13">
        <f>(MIN(IF($J85="",1E+9,$J85),MAX(IF($I85="",0,$I85),$G85*P$3*$F85+$H85))+IF($K85="да",0,$L85*P$3*$F85+$M85))/$F85</f>
        <v/>
      </c>
      <c r="Q85" s="13">
        <f>(MIN(IF($J85="",1E+9,$J85),MAX(IF($I85="",0,$I85),$G85*Q$3*$F85+$H85))+IF($K85="да",0,$L85*Q$3*$F85+$M85))/$F85</f>
        <v/>
      </c>
      <c r="R85" s="13">
        <f>(MIN(IF($J85="",1E+9,$J85),MAX(IF($I85="",0,$I85),$G85*R$3*$F85+$H85))+IF($K85="да",0,$L85*R$3*$F85+$M85))/$F85</f>
        <v/>
      </c>
      <c r="S85" s="13">
        <f>(MIN(IF($J85="",1E+9,$J85),MAX(IF($I85="",0,$I85),$G85*S$3*$F85+$H85))+IF($K85="да",0,$L85*S$3*$F85+$M85))/$F85</f>
        <v/>
      </c>
      <c r="T85" s="14">
        <f>P85/P$3</f>
        <v/>
      </c>
      <c r="U85" s="14">
        <f>Q85/Q$3</f>
        <v/>
      </c>
      <c r="V85" s="14">
        <f>R85/R$3</f>
        <v/>
      </c>
      <c r="W85" s="14">
        <f>S85/S$3</f>
        <v/>
      </c>
    </row>
    <row r="86">
      <c r="A86" s="16" t="inlineStr">
        <is>
          <t>Собирает на себя</t>
        </is>
      </c>
      <c r="B86" s="16" t="inlineStr">
        <is>
          <t>Типичный оператор Украины</t>
        </is>
      </c>
      <c r="C86" s="16" t="inlineStr">
        <is>
          <t>Украина</t>
        </is>
      </c>
      <c r="D86" s="16" t="inlineStr">
        <is>
          <t>Агент + сервисный сбор</t>
        </is>
      </c>
      <c r="E86" s="16" t="inlineStr">
        <is>
          <t>UAH</t>
        </is>
      </c>
      <c r="F86" s="9">
        <f>INDEX('Курсы'!$B$4:$B$46,MATCH($E86,'Курсы'!$A$4:$A$46,0))</f>
        <v/>
      </c>
      <c r="G86" s="10" t="n">
        <v>0.14</v>
      </c>
      <c r="H86" s="11" t="n">
        <v>0</v>
      </c>
      <c r="I86" s="11" t="n"/>
      <c r="J86" s="11" t="n"/>
      <c r="K86" s="12" t="inlineStr">
        <is>
          <t>да</t>
        </is>
      </c>
      <c r="L86" s="10" t="n">
        <v>0</v>
      </c>
      <c r="M86" s="11" t="n">
        <v>0</v>
      </c>
      <c r="N86" s="12" t="inlineStr">
        <is>
          <t>организатор 6–8 % + покупатель 5–9 %</t>
        </is>
      </c>
      <c r="O86" s="12" t="inlineStr">
        <is>
          <t>Оценка основателя Concert.ua, Delo.ua 05.10.2026 [third_party]</t>
        </is>
      </c>
      <c r="P86" s="13">
        <f>(MIN(IF($J86="",1E+9,$J86),MAX(IF($I86="",0,$I86),$G86*P$3*$F86+$H86))+IF($K86="да",0,$L86*P$3*$F86+$M86))/$F86</f>
        <v/>
      </c>
      <c r="Q86" s="13">
        <f>(MIN(IF($J86="",1E+9,$J86),MAX(IF($I86="",0,$I86),$G86*Q$3*$F86+$H86))+IF($K86="да",0,$L86*Q$3*$F86+$M86))/$F86</f>
        <v/>
      </c>
      <c r="R86" s="13">
        <f>(MIN(IF($J86="",1E+9,$J86),MAX(IF($I86="",0,$I86),$G86*R$3*$F86+$H86))+IF($K86="да",0,$L86*R$3*$F86+$M86))/$F86</f>
        <v/>
      </c>
      <c r="S86" s="13">
        <f>(MIN(IF($J86="",1E+9,$J86),MAX(IF($I86="",0,$I86),$G86*S$3*$F86+$H86))+IF($K86="да",0,$L86*S$3*$F86+$M86))/$F86</f>
        <v/>
      </c>
      <c r="T86" s="14">
        <f>P86/P$3</f>
        <v/>
      </c>
      <c r="U86" s="14">
        <f>Q86/Q$3</f>
        <v/>
      </c>
      <c r="V86" s="14">
        <f>R86/R$3</f>
        <v/>
      </c>
      <c r="W86" s="14">
        <f>S86/S$3</f>
        <v/>
      </c>
    </row>
    <row r="87">
      <c r="A87" s="16" t="inlineStr">
        <is>
          <t>Собирает на себя</t>
        </is>
      </c>
      <c r="B87" s="16" t="inlineStr">
        <is>
          <t>Sympla</t>
        </is>
      </c>
      <c r="C87" s="16" t="inlineStr">
        <is>
          <t>Бразилия</t>
        </is>
      </c>
      <c r="D87" s="16" t="inlineStr">
        <is>
          <t>Paid events</t>
        </is>
      </c>
      <c r="E87" s="16" t="inlineStr">
        <is>
          <t>BRL</t>
        </is>
      </c>
      <c r="F87" s="9">
        <f>INDEX('Курсы'!$B$4:$B$46,MATCH($E87,'Курсы'!$A$4:$A$46,0))</f>
        <v/>
      </c>
      <c r="G87" s="10" t="n">
        <v>0.1</v>
      </c>
      <c r="H87" s="11" t="n">
        <v>0</v>
      </c>
      <c r="I87" s="11" t="n">
        <v>3.99</v>
      </c>
      <c r="J87" s="11" t="n"/>
      <c r="K87" s="12" t="inlineStr">
        <is>
          <t>нет</t>
        </is>
      </c>
      <c r="L87" s="10" t="n">
        <v>0.025</v>
      </c>
      <c r="M87" s="11" t="n">
        <v>0</v>
      </c>
      <c r="N87" s="12" t="inlineStr">
        <is>
          <t>настраивается</t>
        </is>
      </c>
      <c r="O87" s="12" t="inlineStr">
        <is>
          <t>Кто платит 2–2,5 % обработки — противоречиво</t>
        </is>
      </c>
      <c r="P87" s="13">
        <f>(MIN(IF($J87="",1E+9,$J87),MAX(IF($I87="",0,$I87),$G87*P$3*$F87+$H87))+IF($K87="да",0,$L87*P$3*$F87+$M87))/$F87</f>
        <v/>
      </c>
      <c r="Q87" s="13">
        <f>(MIN(IF($J87="",1E+9,$J87),MAX(IF($I87="",0,$I87),$G87*Q$3*$F87+$H87))+IF($K87="да",0,$L87*Q$3*$F87+$M87))/$F87</f>
        <v/>
      </c>
      <c r="R87" s="13">
        <f>(MIN(IF($J87="",1E+9,$J87),MAX(IF($I87="",0,$I87),$G87*R$3*$F87+$H87))+IF($K87="да",0,$L87*R$3*$F87+$M87))/$F87</f>
        <v/>
      </c>
      <c r="S87" s="13">
        <f>(MIN(IF($J87="",1E+9,$J87),MAX(IF($I87="",0,$I87),$G87*S$3*$F87+$H87))+IF($K87="да",0,$L87*S$3*$F87+$M87))/$F87</f>
        <v/>
      </c>
      <c r="T87" s="14">
        <f>P87/P$3</f>
        <v/>
      </c>
      <c r="U87" s="14">
        <f>Q87/Q$3</f>
        <v/>
      </c>
      <c r="V87" s="14">
        <f>R87/R$3</f>
        <v/>
      </c>
      <c r="W87" s="14">
        <f>S87/S$3</f>
        <v/>
      </c>
    </row>
    <row r="88">
      <c r="A88" s="16" t="inlineStr">
        <is>
          <t>Собирает на себя</t>
        </is>
      </c>
      <c r="B88" s="16" t="inlineStr">
        <is>
          <t>Boletia</t>
        </is>
      </c>
      <c r="C88" s="16" t="inlineStr">
        <is>
          <t>Мексика</t>
        </is>
      </c>
      <c r="D88" s="16" t="inlineStr">
        <is>
          <t>Online</t>
        </is>
      </c>
      <c r="E88" s="16" t="inlineStr">
        <is>
          <t>MXN</t>
        </is>
      </c>
      <c r="F88" s="9">
        <f>INDEX('Курсы'!$B$4:$B$46,MATCH($E88,'Курсы'!$A$4:$A$46,0))</f>
        <v/>
      </c>
      <c r="G88" s="10" t="n">
        <v>0.1</v>
      </c>
      <c r="H88" s="11" t="n">
        <v>10</v>
      </c>
      <c r="I88" s="11" t="n"/>
      <c r="J88" s="11" t="n"/>
      <c r="K88" s="12" t="inlineStr">
        <is>
          <t>да</t>
        </is>
      </c>
      <c r="L88" s="10" t="n">
        <v>0</v>
      </c>
      <c r="M88" s="11" t="n">
        <v>0</v>
      </c>
      <c r="N88" s="12" t="inlineStr">
        <is>
          <t>настраивается</t>
        </is>
      </c>
      <c r="O88" s="12" t="inlineStr">
        <is>
          <t>Рассрочка 7,5–24 % на организаторе</t>
        </is>
      </c>
      <c r="P88" s="13">
        <f>(MIN(IF($J88="",1E+9,$J88),MAX(IF($I88="",0,$I88),$G88*P$3*$F88+$H88))+IF($K88="да",0,$L88*P$3*$F88+$M88))/$F88</f>
        <v/>
      </c>
      <c r="Q88" s="13">
        <f>(MIN(IF($J88="",1E+9,$J88),MAX(IF($I88="",0,$I88),$G88*Q$3*$F88+$H88))+IF($K88="да",0,$L88*Q$3*$F88+$M88))/$F88</f>
        <v/>
      </c>
      <c r="R88" s="13">
        <f>(MIN(IF($J88="",1E+9,$J88),MAX(IF($I88="",0,$I88),$G88*R$3*$F88+$H88))+IF($K88="да",0,$L88*R$3*$F88+$M88))/$F88</f>
        <v/>
      </c>
      <c r="S88" s="13">
        <f>(MIN(IF($J88="",1E+9,$J88),MAX(IF($I88="",0,$I88),$G88*S$3*$F88+$H88))+IF($K88="да",0,$L88*S$3*$F88+$M88))/$F88</f>
        <v/>
      </c>
      <c r="T88" s="14">
        <f>P88/P$3</f>
        <v/>
      </c>
      <c r="U88" s="14">
        <f>Q88/Q$3</f>
        <v/>
      </c>
      <c r="V88" s="14">
        <f>R88/R$3</f>
        <v/>
      </c>
      <c r="W88" s="14">
        <f>S88/S$3</f>
        <v/>
      </c>
    </row>
    <row r="89">
      <c r="A89" s="16" t="inlineStr">
        <is>
          <t>Собирает на себя</t>
        </is>
      </c>
      <c r="B89" s="16" t="inlineStr">
        <is>
          <t>Welcu</t>
        </is>
      </c>
      <c r="C89" s="16" t="inlineStr">
        <is>
          <t>Чили</t>
        </is>
      </c>
      <c r="D89" s="16" t="inlineStr">
        <is>
          <t>Standard</t>
        </is>
      </c>
      <c r="E89" s="16" t="inlineStr">
        <is>
          <t>CLP</t>
        </is>
      </c>
      <c r="F89" s="9">
        <f>INDEX('Курсы'!$B$4:$B$46,MATCH($E89,'Курсы'!$A$4:$A$46,0))</f>
        <v/>
      </c>
      <c r="G89" s="10" t="n">
        <v>0.1</v>
      </c>
      <c r="H89" s="11" t="n">
        <v>0</v>
      </c>
      <c r="I89" s="11" t="n"/>
      <c r="J89" s="11" t="n"/>
      <c r="K89" s="12" t="inlineStr">
        <is>
          <t>да</t>
        </is>
      </c>
      <c r="L89" s="10" t="n">
        <v>0</v>
      </c>
      <c r="M89" s="11" t="n">
        <v>0</v>
      </c>
      <c r="N89" s="12" t="inlineStr">
        <is>
          <t>организатор</t>
        </is>
      </c>
      <c r="O89" s="12" t="inlineStr"/>
      <c r="P89" s="13">
        <f>(MIN(IF($J89="",1E+9,$J89),MAX(IF($I89="",0,$I89),$G89*P$3*$F89+$H89))+IF($K89="да",0,$L89*P$3*$F89+$M89))/$F89</f>
        <v/>
      </c>
      <c r="Q89" s="13">
        <f>(MIN(IF($J89="",1E+9,$J89),MAX(IF($I89="",0,$I89),$G89*Q$3*$F89+$H89))+IF($K89="да",0,$L89*Q$3*$F89+$M89))/$F89</f>
        <v/>
      </c>
      <c r="R89" s="13">
        <f>(MIN(IF($J89="",1E+9,$J89),MAX(IF($I89="",0,$I89),$G89*R$3*$F89+$H89))+IF($K89="да",0,$L89*R$3*$F89+$M89))/$F89</f>
        <v/>
      </c>
      <c r="S89" s="13">
        <f>(MIN(IF($J89="",1E+9,$J89),MAX(IF($I89="",0,$I89),$G89*S$3*$F89+$H89))+IF($K89="да",0,$L89*S$3*$F89+$M89))/$F89</f>
        <v/>
      </c>
      <c r="T89" s="14">
        <f>P89/P$3</f>
        <v/>
      </c>
      <c r="U89" s="14">
        <f>Q89/Q$3</f>
        <v/>
      </c>
      <c r="V89" s="14">
        <f>R89/R$3</f>
        <v/>
      </c>
      <c r="W89" s="14">
        <f>S89/S$3</f>
        <v/>
      </c>
    </row>
    <row r="90">
      <c r="A90" s="16" t="inlineStr">
        <is>
          <t>Собирает на себя</t>
        </is>
      </c>
      <c r="B90" s="16" t="inlineStr">
        <is>
          <t>Passline</t>
        </is>
      </c>
      <c r="C90" s="16" t="inlineStr">
        <is>
          <t>Латинская Америка</t>
        </is>
      </c>
      <c r="D90" s="16" t="inlineStr">
        <is>
          <t>Producer agreement</t>
        </is>
      </c>
      <c r="E90" s="16" t="inlineStr">
        <is>
          <t>CLP</t>
        </is>
      </c>
      <c r="F90" s="9">
        <f>INDEX('Курсы'!$B$4:$B$46,MATCH($E90,'Курсы'!$A$4:$A$46,0))</f>
        <v/>
      </c>
      <c r="G90" s="10" t="n">
        <v>0.15</v>
      </c>
      <c r="H90" s="11" t="n">
        <v>0</v>
      </c>
      <c r="I90" s="11" t="n"/>
      <c r="J90" s="11" t="n"/>
      <c r="K90" s="12" t="inlineStr">
        <is>
          <t>да</t>
        </is>
      </c>
      <c r="L90" s="10" t="n">
        <v>0</v>
      </c>
      <c r="M90" s="11" t="n">
        <v>0</v>
      </c>
      <c r="N90" s="12" t="inlineStr">
        <is>
          <t>покупатель</t>
        </is>
      </c>
      <c r="O90" s="12" t="inlineStr"/>
      <c r="P90" s="13">
        <f>(MIN(IF($J90="",1E+9,$J90),MAX(IF($I90="",0,$I90),$G90*P$3*$F90+$H90))+IF($K90="да",0,$L90*P$3*$F90+$M90))/$F90</f>
        <v/>
      </c>
      <c r="Q90" s="13">
        <f>(MIN(IF($J90="",1E+9,$J90),MAX(IF($I90="",0,$I90),$G90*Q$3*$F90+$H90))+IF($K90="да",0,$L90*Q$3*$F90+$M90))/$F90</f>
        <v/>
      </c>
      <c r="R90" s="13">
        <f>(MIN(IF($J90="",1E+9,$J90),MAX(IF($I90="",0,$I90),$G90*R$3*$F90+$H90))+IF($K90="да",0,$L90*R$3*$F90+$M90))/$F90</f>
        <v/>
      </c>
      <c r="S90" s="13">
        <f>(MIN(IF($J90="",1E+9,$J90),MAX(IF($I90="",0,$I90),$G90*S$3*$F90+$H90))+IF($K90="да",0,$L90*S$3*$F90+$M90))/$F90</f>
        <v/>
      </c>
      <c r="T90" s="14">
        <f>P90/P$3</f>
        <v/>
      </c>
      <c r="U90" s="14">
        <f>Q90/Q$3</f>
        <v/>
      </c>
      <c r="V90" s="14">
        <f>R90/R$3</f>
        <v/>
      </c>
      <c r="W90" s="14">
        <f>S90/S$3</f>
        <v/>
      </c>
    </row>
    <row r="91">
      <c r="A91" s="16" t="inlineStr">
        <is>
          <t>Собирает на себя</t>
        </is>
      </c>
      <c r="B91" s="16" t="inlineStr">
        <is>
          <t>Alpogo</t>
        </is>
      </c>
      <c r="C91" s="16" t="inlineStr">
        <is>
          <t>Аргентина</t>
        </is>
      </c>
      <c r="D91" s="16" t="inlineStr">
        <is>
          <t>Producer terms</t>
        </is>
      </c>
      <c r="E91" s="16" t="inlineStr">
        <is>
          <t>ARS</t>
        </is>
      </c>
      <c r="F91" s="9">
        <f>INDEX('Курсы'!$B$4:$B$46,MATCH($E91,'Курсы'!$A$4:$A$46,0))</f>
        <v/>
      </c>
      <c r="G91" s="10" t="n">
        <v>0.175</v>
      </c>
      <c r="H91" s="11" t="n">
        <v>0</v>
      </c>
      <c r="I91" s="11" t="n"/>
      <c r="J91" s="11" t="n"/>
      <c r="K91" s="12" t="inlineStr">
        <is>
          <t>да</t>
        </is>
      </c>
      <c r="L91" s="10" t="n">
        <v>0</v>
      </c>
      <c r="M91" s="11" t="n">
        <v>0</v>
      </c>
      <c r="N91" s="12" t="inlineStr">
        <is>
          <t>организатор</t>
        </is>
      </c>
      <c r="O91" s="12" t="inlineStr">
        <is>
          <t>Может держать 30 % 90 дней</t>
        </is>
      </c>
      <c r="P91" s="13">
        <f>(MIN(IF($J91="",1E+9,$J91),MAX(IF($I91="",0,$I91),$G91*P$3*$F91+$H91))+IF($K91="да",0,$L91*P$3*$F91+$M91))/$F91</f>
        <v/>
      </c>
      <c r="Q91" s="13">
        <f>(MIN(IF($J91="",1E+9,$J91),MAX(IF($I91="",0,$I91),$G91*Q$3*$F91+$H91))+IF($K91="да",0,$L91*Q$3*$F91+$M91))/$F91</f>
        <v/>
      </c>
      <c r="R91" s="13">
        <f>(MIN(IF($J91="",1E+9,$J91),MAX(IF($I91="",0,$I91),$G91*R$3*$F91+$H91))+IF($K91="да",0,$L91*R$3*$F91+$M91))/$F91</f>
        <v/>
      </c>
      <c r="S91" s="13">
        <f>(MIN(IF($J91="",1E+9,$J91),MAX(IF($I91="",0,$I91),$G91*S$3*$F91+$H91))+IF($K91="да",0,$L91*S$3*$F91+$M91))/$F91</f>
        <v/>
      </c>
      <c r="T91" s="14">
        <f>P91/P$3</f>
        <v/>
      </c>
      <c r="U91" s="14">
        <f>Q91/Q$3</f>
        <v/>
      </c>
      <c r="V91" s="14">
        <f>R91/R$3</f>
        <v/>
      </c>
      <c r="W91" s="14">
        <f>S91/S$3</f>
        <v/>
      </c>
    </row>
    <row r="92">
      <c r="A92" s="16" t="inlineStr">
        <is>
          <t>Собирает на себя</t>
        </is>
      </c>
      <c r="B92" s="16" t="inlineStr">
        <is>
          <t>Peatix</t>
        </is>
      </c>
      <c r="C92" s="16" t="inlineStr">
        <is>
          <t>Европа</t>
        </is>
      </c>
      <c r="D92" s="16" t="inlineStr">
        <is>
          <t>Ticketing fee</t>
        </is>
      </c>
      <c r="E92" s="16" t="inlineStr">
        <is>
          <t>EUR</t>
        </is>
      </c>
      <c r="F92" s="9">
        <f>INDEX('Курсы'!$B$4:$B$46,MATCH($E92,'Курсы'!$A$4:$A$46,0))</f>
        <v/>
      </c>
      <c r="G92" s="10" t="n">
        <v>0.049</v>
      </c>
      <c r="H92" s="11" t="n">
        <v>0.99</v>
      </c>
      <c r="I92" s="11" t="n"/>
      <c r="J92" s="11" t="n"/>
      <c r="K92" s="12" t="inlineStr">
        <is>
          <t>да</t>
        </is>
      </c>
      <c r="L92" s="10" t="n">
        <v>0</v>
      </c>
      <c r="M92" s="11" t="n">
        <v>0</v>
      </c>
      <c r="N92" s="12" t="inlineStr">
        <is>
          <t>организатор</t>
        </is>
      </c>
      <c r="O92" s="12" t="inlineStr"/>
      <c r="P92" s="13">
        <f>(MIN(IF($J92="",1E+9,$J92),MAX(IF($I92="",0,$I92),$G92*P$3*$F92+$H92))+IF($K92="да",0,$L92*P$3*$F92+$M92))/$F92</f>
        <v/>
      </c>
      <c r="Q92" s="13">
        <f>(MIN(IF($J92="",1E+9,$J92),MAX(IF($I92="",0,$I92),$G92*Q$3*$F92+$H92))+IF($K92="да",0,$L92*Q$3*$F92+$M92))/$F92</f>
        <v/>
      </c>
      <c r="R92" s="13">
        <f>(MIN(IF($J92="",1E+9,$J92),MAX(IF($I92="",0,$I92),$G92*R$3*$F92+$H92))+IF($K92="да",0,$L92*R$3*$F92+$M92))/$F92</f>
        <v/>
      </c>
      <c r="S92" s="13">
        <f>(MIN(IF($J92="",1E+9,$J92),MAX(IF($I92="",0,$I92),$G92*S$3*$F92+$H92))+IF($K92="да",0,$L92*S$3*$F92+$M92))/$F92</f>
        <v/>
      </c>
      <c r="T92" s="14">
        <f>P92/P$3</f>
        <v/>
      </c>
      <c r="U92" s="14">
        <f>Q92/Q$3</f>
        <v/>
      </c>
      <c r="V92" s="14">
        <f>R92/R$3</f>
        <v/>
      </c>
      <c r="W92" s="14">
        <f>S92/S$3</f>
        <v/>
      </c>
    </row>
    <row r="93">
      <c r="A93" s="16" t="inlineStr">
        <is>
          <t>Собирает на себя</t>
        </is>
      </c>
      <c r="B93" s="16" t="inlineStr">
        <is>
          <t>Peatix</t>
        </is>
      </c>
      <c r="C93" s="16" t="inlineStr">
        <is>
          <t>Япония</t>
        </is>
      </c>
      <c r="D93" s="16" t="inlineStr">
        <is>
          <t>Ticketing fee</t>
        </is>
      </c>
      <c r="E93" s="16" t="inlineStr">
        <is>
          <t>JPY</t>
        </is>
      </c>
      <c r="F93" s="9">
        <f>INDEX('Курсы'!$B$4:$B$46,MATCH($E93,'Курсы'!$A$4:$A$46,0))</f>
        <v/>
      </c>
      <c r="G93" s="10" t="n">
        <v>0.049</v>
      </c>
      <c r="H93" s="11" t="n">
        <v>99</v>
      </c>
      <c r="I93" s="11" t="n"/>
      <c r="J93" s="11" t="n"/>
      <c r="K93" s="12" t="inlineStr">
        <is>
          <t>да</t>
        </is>
      </c>
      <c r="L93" s="10" t="n">
        <v>0</v>
      </c>
      <c r="M93" s="11" t="n">
        <v>0</v>
      </c>
      <c r="N93" s="12" t="inlineStr">
        <is>
          <t>организатор</t>
        </is>
      </c>
      <c r="O93" s="12" t="inlineStr"/>
      <c r="P93" s="13">
        <f>(MIN(IF($J93="",1E+9,$J93),MAX(IF($I93="",0,$I93),$G93*P$3*$F93+$H93))+IF($K93="да",0,$L93*P$3*$F93+$M93))/$F93</f>
        <v/>
      </c>
      <c r="Q93" s="13">
        <f>(MIN(IF($J93="",1E+9,$J93),MAX(IF($I93="",0,$I93),$G93*Q$3*$F93+$H93))+IF($K93="да",0,$L93*Q$3*$F93+$M93))/$F93</f>
        <v/>
      </c>
      <c r="R93" s="13">
        <f>(MIN(IF($J93="",1E+9,$J93),MAX(IF($I93="",0,$I93),$G93*R$3*$F93+$H93))+IF($K93="да",0,$L93*R$3*$F93+$M93))/$F93</f>
        <v/>
      </c>
      <c r="S93" s="13">
        <f>(MIN(IF($J93="",1E+9,$J93),MAX(IF($I93="",0,$I93),$G93*S$3*$F93+$H93))+IF($K93="да",0,$L93*S$3*$F93+$M93))/$F93</f>
        <v/>
      </c>
      <c r="T93" s="14">
        <f>P93/P$3</f>
        <v/>
      </c>
      <c r="U93" s="14">
        <f>Q93/Q$3</f>
        <v/>
      </c>
      <c r="V93" s="14">
        <f>R93/R$3</f>
        <v/>
      </c>
      <c r="W93" s="14">
        <f>S93/S$3</f>
        <v/>
      </c>
    </row>
    <row r="94">
      <c r="A94" s="16" t="inlineStr">
        <is>
          <t>Собирает на себя</t>
        </is>
      </c>
      <c r="B94" s="16" t="inlineStr">
        <is>
          <t>TryBooking</t>
        </is>
      </c>
      <c r="C94" s="16" t="inlineStr">
        <is>
          <t>Австралия</t>
        </is>
      </c>
      <c r="D94" s="16" t="inlineStr">
        <is>
          <t>Standard</t>
        </is>
      </c>
      <c r="E94" s="16" t="inlineStr">
        <is>
          <t>AUD</t>
        </is>
      </c>
      <c r="F94" s="9">
        <f>INDEX('Курсы'!$B$4:$B$46,MATCH($E94,'Курсы'!$A$4:$A$46,0))</f>
        <v/>
      </c>
      <c r="G94" s="10" t="n">
        <v>0.025</v>
      </c>
      <c r="H94" s="11" t="n">
        <v>0.5</v>
      </c>
      <c r="I94" s="11" t="n"/>
      <c r="J94" s="11" t="n"/>
      <c r="K94" s="12" t="inlineStr">
        <is>
          <t>да</t>
        </is>
      </c>
      <c r="L94" s="10" t="n">
        <v>0</v>
      </c>
      <c r="M94" s="11" t="n">
        <v>0</v>
      </c>
      <c r="N94" s="12" t="inlineStr">
        <is>
          <t>настраивается</t>
        </is>
      </c>
      <c r="O94" s="12" t="inlineStr"/>
      <c r="P94" s="13">
        <f>(MIN(IF($J94="",1E+9,$J94),MAX(IF($I94="",0,$I94),$G94*P$3*$F94+$H94))+IF($K94="да",0,$L94*P$3*$F94+$M94))/$F94</f>
        <v/>
      </c>
      <c r="Q94" s="13">
        <f>(MIN(IF($J94="",1E+9,$J94),MAX(IF($I94="",0,$I94),$G94*Q$3*$F94+$H94))+IF($K94="да",0,$L94*Q$3*$F94+$M94))/$F94</f>
        <v/>
      </c>
      <c r="R94" s="13">
        <f>(MIN(IF($J94="",1E+9,$J94),MAX(IF($I94="",0,$I94),$G94*R$3*$F94+$H94))+IF($K94="да",0,$L94*R$3*$F94+$M94))/$F94</f>
        <v/>
      </c>
      <c r="S94" s="13">
        <f>(MIN(IF($J94="",1E+9,$J94),MAX(IF($I94="",0,$I94),$G94*S$3*$F94+$H94))+IF($K94="да",0,$L94*S$3*$F94+$M94))/$F94</f>
        <v/>
      </c>
      <c r="T94" s="14">
        <f>P94/P$3</f>
        <v/>
      </c>
      <c r="U94" s="14">
        <f>Q94/Q$3</f>
        <v/>
      </c>
      <c r="V94" s="14">
        <f>R94/R$3</f>
        <v/>
      </c>
      <c r="W94" s="14">
        <f>S94/S$3</f>
        <v/>
      </c>
    </row>
    <row r="95">
      <c r="A95" s="16" t="inlineStr">
        <is>
          <t>Собирает на себя</t>
        </is>
      </c>
      <c r="B95" s="16" t="inlineStr">
        <is>
          <t>teket</t>
        </is>
      </c>
      <c r="C95" s="16" t="inlineStr">
        <is>
          <t>Япония</t>
        </is>
      </c>
      <c r="D95" s="16" t="inlineStr">
        <is>
          <t>Без мест</t>
        </is>
      </c>
      <c r="E95" s="16" t="inlineStr">
        <is>
          <t>JPY</t>
        </is>
      </c>
      <c r="F95" s="9">
        <f>INDEX('Курсы'!$B$4:$B$46,MATCH($E95,'Курсы'!$A$4:$A$46,0))</f>
        <v/>
      </c>
      <c r="G95" s="10" t="n">
        <v>0.08</v>
      </c>
      <c r="H95" s="11" t="n">
        <v>0</v>
      </c>
      <c r="I95" s="11" t="n"/>
      <c r="J95" s="11" t="n"/>
      <c r="K95" s="12" t="inlineStr">
        <is>
          <t>да</t>
        </is>
      </c>
      <c r="L95" s="10" t="n">
        <v>0</v>
      </c>
      <c r="M95" s="11" t="n">
        <v>0</v>
      </c>
      <c r="N95" s="12" t="inlineStr">
        <is>
          <t>организатор</t>
        </is>
      </c>
      <c r="O95" s="12" t="inlineStr"/>
      <c r="P95" s="13">
        <f>(MIN(IF($J95="",1E+9,$J95),MAX(IF($I95="",0,$I95),$G95*P$3*$F95+$H95))+IF($K95="да",0,$L95*P$3*$F95+$M95))/$F95</f>
        <v/>
      </c>
      <c r="Q95" s="13">
        <f>(MIN(IF($J95="",1E+9,$J95),MAX(IF($I95="",0,$I95),$G95*Q$3*$F95+$H95))+IF($K95="да",0,$L95*Q$3*$F95+$M95))/$F95</f>
        <v/>
      </c>
      <c r="R95" s="13">
        <f>(MIN(IF($J95="",1E+9,$J95),MAX(IF($I95="",0,$I95),$G95*R$3*$F95+$H95))+IF($K95="да",0,$L95*R$3*$F95+$M95))/$F95</f>
        <v/>
      </c>
      <c r="S95" s="13">
        <f>(MIN(IF($J95="",1E+9,$J95),MAX(IF($I95="",0,$I95),$G95*S$3*$F95+$H95))+IF($K95="да",0,$L95*S$3*$F95+$M95))/$F95</f>
        <v/>
      </c>
      <c r="T95" s="14">
        <f>P95/P$3</f>
        <v/>
      </c>
      <c r="U95" s="14">
        <f>Q95/Q$3</f>
        <v/>
      </c>
      <c r="V95" s="14">
        <f>R95/R$3</f>
        <v/>
      </c>
      <c r="W95" s="14">
        <f>S95/S$3</f>
        <v/>
      </c>
    </row>
    <row r="96">
      <c r="A96" s="16" t="inlineStr">
        <is>
          <t>Собирает на себя</t>
        </is>
      </c>
      <c r="B96" s="16" t="inlineStr">
        <is>
          <t>LivePocket</t>
        </is>
      </c>
      <c r="C96" s="16" t="inlineStr">
        <is>
          <t>Япония</t>
        </is>
      </c>
      <c r="D96" s="16" t="inlineStr">
        <is>
          <t>Sales fee</t>
        </is>
      </c>
      <c r="E96" s="16" t="inlineStr">
        <is>
          <t>JPY</t>
        </is>
      </c>
      <c r="F96" s="9">
        <f>INDEX('Курсы'!$B$4:$B$46,MATCH($E96,'Курсы'!$A$4:$A$46,0))</f>
        <v/>
      </c>
      <c r="G96" s="10" t="n">
        <v>0.05</v>
      </c>
      <c r="H96" s="11" t="n">
        <v>0</v>
      </c>
      <c r="I96" s="11" t="n"/>
      <c r="J96" s="11" t="n"/>
      <c r="K96" s="12" t="inlineStr">
        <is>
          <t>да</t>
        </is>
      </c>
      <c r="L96" s="10" t="n">
        <v>0</v>
      </c>
      <c r="M96" s="11" t="n">
        <v>0</v>
      </c>
      <c r="N96" s="12" t="inlineStr">
        <is>
          <t>настраивается</t>
        </is>
      </c>
      <c r="O96" s="12" t="inlineStr"/>
      <c r="P96" s="13">
        <f>(MIN(IF($J96="",1E+9,$J96),MAX(IF($I96="",0,$I96),$G96*P$3*$F96+$H96))+IF($K96="да",0,$L96*P$3*$F96+$M96))/$F96</f>
        <v/>
      </c>
      <c r="Q96" s="13">
        <f>(MIN(IF($J96="",1E+9,$J96),MAX(IF($I96="",0,$I96),$G96*Q$3*$F96+$H96))+IF($K96="да",0,$L96*Q$3*$F96+$M96))/$F96</f>
        <v/>
      </c>
      <c r="R96" s="13">
        <f>(MIN(IF($J96="",1E+9,$J96),MAX(IF($I96="",0,$I96),$G96*R$3*$F96+$H96))+IF($K96="да",0,$L96*R$3*$F96+$M96))/$F96</f>
        <v/>
      </c>
      <c r="S96" s="13">
        <f>(MIN(IF($J96="",1E+9,$J96),MAX(IF($I96="",0,$I96),$G96*S$3*$F96+$H96))+IF($K96="да",0,$L96*S$3*$F96+$M96))/$F96</f>
        <v/>
      </c>
      <c r="T96" s="14">
        <f>P96/P$3</f>
        <v/>
      </c>
      <c r="U96" s="14">
        <f>Q96/Q$3</f>
        <v/>
      </c>
      <c r="V96" s="14">
        <f>R96/R$3</f>
        <v/>
      </c>
      <c r="W96" s="14">
        <f>S96/S$3</f>
        <v/>
      </c>
    </row>
    <row r="97">
      <c r="A97" s="16" t="inlineStr">
        <is>
          <t>Собирает на себя</t>
        </is>
      </c>
      <c r="B97" s="16" t="inlineStr">
        <is>
          <t>Ticket2U</t>
        </is>
      </c>
      <c r="C97" s="16" t="inlineStr">
        <is>
          <t>Малайзия</t>
        </is>
      </c>
      <c r="D97" s="16" t="inlineStr">
        <is>
          <t>Standard</t>
        </is>
      </c>
      <c r="E97" s="16" t="inlineStr">
        <is>
          <t>MYR</t>
        </is>
      </c>
      <c r="F97" s="9">
        <f>INDEX('Курсы'!$B$4:$B$46,MATCH($E97,'Курсы'!$A$4:$A$46,0))</f>
        <v/>
      </c>
      <c r="G97" s="10" t="n">
        <v>0.05</v>
      </c>
      <c r="H97" s="11" t="n">
        <v>0</v>
      </c>
      <c r="I97" s="11" t="n">
        <v>2</v>
      </c>
      <c r="J97" s="11" t="n"/>
      <c r="K97" s="12" t="inlineStr">
        <is>
          <t>да</t>
        </is>
      </c>
      <c r="L97" s="10" t="n">
        <v>0</v>
      </c>
      <c r="M97" s="11" t="n">
        <v>0</v>
      </c>
      <c r="N97" s="12" t="inlineStr">
        <is>
          <t>настраивается</t>
        </is>
      </c>
      <c r="O97" s="12" t="inlineStr">
        <is>
          <t>Прочтение 5 % vs 6 % под вопросом [snippet]</t>
        </is>
      </c>
      <c r="P97" s="13">
        <f>(MIN(IF($J97="",1E+9,$J97),MAX(IF($I97="",0,$I97),$G97*P$3*$F97+$H97))+IF($K97="да",0,$L97*P$3*$F97+$M97))/$F97</f>
        <v/>
      </c>
      <c r="Q97" s="13">
        <f>(MIN(IF($J97="",1E+9,$J97),MAX(IF($I97="",0,$I97),$G97*Q$3*$F97+$H97))+IF($K97="да",0,$L97*Q$3*$F97+$M97))/$F97</f>
        <v/>
      </c>
      <c r="R97" s="13">
        <f>(MIN(IF($J97="",1E+9,$J97),MAX(IF($I97="",0,$I97),$G97*R$3*$F97+$H97))+IF($K97="да",0,$L97*R$3*$F97+$M97))/$F97</f>
        <v/>
      </c>
      <c r="S97" s="13">
        <f>(MIN(IF($J97="",1E+9,$J97),MAX(IF($I97="",0,$I97),$G97*S$3*$F97+$H97))+IF($K97="да",0,$L97*S$3*$F97+$M97))/$F97</f>
        <v/>
      </c>
      <c r="T97" s="14">
        <f>P97/P$3</f>
        <v/>
      </c>
      <c r="U97" s="14">
        <f>Q97/Q$3</f>
        <v/>
      </c>
      <c r="V97" s="14">
        <f>R97/R$3</f>
        <v/>
      </c>
      <c r="W97" s="14">
        <f>S97/S$3</f>
        <v/>
      </c>
    </row>
    <row r="98">
      <c r="A98" s="16" t="inlineStr">
        <is>
          <t>Собирает на себя</t>
        </is>
      </c>
      <c r="B98" s="16" t="inlineStr">
        <is>
          <t>Accupass</t>
        </is>
      </c>
      <c r="C98" s="16" t="inlineStr">
        <is>
          <t>Тайвань</t>
        </is>
      </c>
      <c r="D98" s="16" t="inlineStr">
        <is>
          <t>Paid tickets</t>
        </is>
      </c>
      <c r="E98" s="16" t="inlineStr">
        <is>
          <t>TWD</t>
        </is>
      </c>
      <c r="F98" s="9">
        <f>INDEX('Курсы'!$B$4:$B$46,MATCH($E98,'Курсы'!$A$4:$A$46,0))</f>
        <v/>
      </c>
      <c r="G98" s="10" t="n">
        <v>0.05</v>
      </c>
      <c r="H98" s="11" t="n">
        <v>10</v>
      </c>
      <c r="I98" s="11" t="n"/>
      <c r="J98" s="11" t="n"/>
      <c r="K98" s="12" t="inlineStr">
        <is>
          <t>да</t>
        </is>
      </c>
      <c r="L98" s="10" t="n">
        <v>0</v>
      </c>
      <c r="M98" s="11" t="n">
        <v>0</v>
      </c>
      <c r="N98" s="12" t="inlineStr">
        <is>
          <t>организатор</t>
        </is>
      </c>
      <c r="O98" s="12" t="inlineStr"/>
      <c r="P98" s="13">
        <f>(MIN(IF($J98="",1E+9,$J98),MAX(IF($I98="",0,$I98),$G98*P$3*$F98+$H98))+IF($K98="да",0,$L98*P$3*$F98+$M98))/$F98</f>
        <v/>
      </c>
      <c r="Q98" s="13">
        <f>(MIN(IF($J98="",1E+9,$J98),MAX(IF($I98="",0,$I98),$G98*Q$3*$F98+$H98))+IF($K98="да",0,$L98*Q$3*$F98+$M98))/$F98</f>
        <v/>
      </c>
      <c r="R98" s="13">
        <f>(MIN(IF($J98="",1E+9,$J98),MAX(IF($I98="",0,$I98),$G98*R$3*$F98+$H98))+IF($K98="да",0,$L98*R$3*$F98+$M98))/$F98</f>
        <v/>
      </c>
      <c r="S98" s="13">
        <f>(MIN(IF($J98="",1E+9,$J98),MAX(IF($I98="",0,$I98),$G98*S$3*$F98+$H98))+IF($K98="да",0,$L98*S$3*$F98+$M98))/$F98</f>
        <v/>
      </c>
      <c r="T98" s="14">
        <f>P98/P$3</f>
        <v/>
      </c>
      <c r="U98" s="14">
        <f>Q98/Q$3</f>
        <v/>
      </c>
      <c r="V98" s="14">
        <f>R98/R$3</f>
        <v/>
      </c>
      <c r="W98" s="14">
        <f>S98/S$3</f>
        <v/>
      </c>
    </row>
    <row r="99">
      <c r="A99" s="16" t="inlineStr">
        <is>
          <t>Собирает на себя</t>
        </is>
      </c>
      <c r="B99" s="16" t="inlineStr">
        <is>
          <t>BiletiniYap</t>
        </is>
      </c>
      <c r="C99" s="16" t="inlineStr">
        <is>
          <t>Турция</t>
        </is>
      </c>
      <c r="D99" s="16" t="inlineStr">
        <is>
          <t>Flat</t>
        </is>
      </c>
      <c r="E99" s="16" t="inlineStr">
        <is>
          <t>TRY</t>
        </is>
      </c>
      <c r="F99" s="9">
        <f>INDEX('Курсы'!$B$4:$B$46,MATCH($E99,'Курсы'!$A$4:$A$46,0))</f>
        <v/>
      </c>
      <c r="G99" s="10" t="n">
        <v>0.08</v>
      </c>
      <c r="H99" s="11" t="n">
        <v>0</v>
      </c>
      <c r="I99" s="11" t="n"/>
      <c r="J99" s="11" t="n"/>
      <c r="K99" s="12" t="inlineStr">
        <is>
          <t>да</t>
        </is>
      </c>
      <c r="L99" s="10" t="n">
        <v>0</v>
      </c>
      <c r="M99" s="11" t="n">
        <v>0</v>
      </c>
      <c r="N99" s="12" t="inlineStr">
        <is>
          <t>организатор</t>
        </is>
      </c>
      <c r="O99" s="12" t="inlineStr"/>
      <c r="P99" s="13">
        <f>(MIN(IF($J99="",1E+9,$J99),MAX(IF($I99="",0,$I99),$G99*P$3*$F99+$H99))+IF($K99="да",0,$L99*P$3*$F99+$M99))/$F99</f>
        <v/>
      </c>
      <c r="Q99" s="13">
        <f>(MIN(IF($J99="",1E+9,$J99),MAX(IF($I99="",0,$I99),$G99*Q$3*$F99+$H99))+IF($K99="да",0,$L99*Q$3*$F99+$M99))/$F99</f>
        <v/>
      </c>
      <c r="R99" s="13">
        <f>(MIN(IF($J99="",1E+9,$J99),MAX(IF($I99="",0,$I99),$G99*R$3*$F99+$H99))+IF($K99="да",0,$L99*R$3*$F99+$M99))/$F99</f>
        <v/>
      </c>
      <c r="S99" s="13">
        <f>(MIN(IF($J99="",1E+9,$J99),MAX(IF($I99="",0,$I99),$G99*S$3*$F99+$H99))+IF($K99="да",0,$L99*S$3*$F99+$M99))/$F99</f>
        <v/>
      </c>
      <c r="T99" s="14">
        <f>P99/P$3</f>
        <v/>
      </c>
      <c r="U99" s="14">
        <f>Q99/Q$3</f>
        <v/>
      </c>
      <c r="V99" s="14">
        <f>R99/R$3</f>
        <v/>
      </c>
      <c r="W99" s="14">
        <f>S99/S$3</f>
        <v/>
      </c>
    </row>
    <row r="100">
      <c r="A100" s="16" t="inlineStr">
        <is>
          <t>Собирает на себя</t>
        </is>
      </c>
      <c r="B100" s="16" t="inlineStr">
        <is>
          <t>Biletino</t>
        </is>
      </c>
      <c r="C100" s="16" t="inlineStr">
        <is>
          <t>Турция</t>
        </is>
      </c>
      <c r="D100" s="16" t="inlineStr">
        <is>
          <t>Paid events</t>
        </is>
      </c>
      <c r="E100" s="16" t="inlineStr">
        <is>
          <t>TRY</t>
        </is>
      </c>
      <c r="F100" s="9">
        <f>INDEX('Курсы'!$B$4:$B$46,MATCH($E100,'Курсы'!$A$4:$A$46,0))</f>
        <v/>
      </c>
      <c r="G100" s="10" t="n">
        <v>0.136</v>
      </c>
      <c r="H100" s="11" t="n">
        <v>0</v>
      </c>
      <c r="I100" s="11" t="n"/>
      <c r="J100" s="11" t="n"/>
      <c r="K100" s="12" t="inlineStr">
        <is>
          <t>да</t>
        </is>
      </c>
      <c r="L100" s="10" t="n">
        <v>0</v>
      </c>
      <c r="M100" s="11" t="n">
        <v>0</v>
      </c>
      <c r="N100" s="12" t="inlineStr">
        <is>
          <t>организатор</t>
        </is>
      </c>
      <c r="O100" s="12" t="inlineStr"/>
      <c r="P100" s="13">
        <f>(MIN(IF($J100="",1E+9,$J100),MAX(IF($I100="",0,$I100),$G100*P$3*$F100+$H100))+IF($K100="да",0,$L100*P$3*$F100+$M100))/$F100</f>
        <v/>
      </c>
      <c r="Q100" s="13">
        <f>(MIN(IF($J100="",1E+9,$J100),MAX(IF($I100="",0,$I100),$G100*Q$3*$F100+$H100))+IF($K100="да",0,$L100*Q$3*$F100+$M100))/$F100</f>
        <v/>
      </c>
      <c r="R100" s="13">
        <f>(MIN(IF($J100="",1E+9,$J100),MAX(IF($I100="",0,$I100),$G100*R$3*$F100+$H100))+IF($K100="да",0,$L100*R$3*$F100+$M100))/$F100</f>
        <v/>
      </c>
      <c r="S100" s="13">
        <f>(MIN(IF($J100="",1E+9,$J100),MAX(IF($I100="",0,$I100),$G100*S$3*$F100+$H100))+IF($K100="да",0,$L100*S$3*$F100+$M100))/$F100</f>
        <v/>
      </c>
      <c r="T100" s="14">
        <f>P100/P$3</f>
        <v/>
      </c>
      <c r="U100" s="14">
        <f>Q100/Q$3</f>
        <v/>
      </c>
      <c r="V100" s="14">
        <f>R100/R$3</f>
        <v/>
      </c>
      <c r="W100" s="14">
        <f>S100/S$3</f>
        <v/>
      </c>
    </row>
    <row r="102">
      <c r="A102" s="17" t="inlineStr">
        <is>
          <t>Формула: сбор = МИН(потолок; МАКС(минимум; % × цена + фикс.)); эквайринг = % × цена + фикс., если не включён в сбор. Всё переводится в евро по листу «Курсы». Эквайринг считается на цену билета, без учёта того, что сбор, переложенный на покупателя, тоже проходит через карту.</t>
        </is>
      </c>
    </row>
  </sheetData>
  <autoFilter ref="A4:W100"/>
  <mergeCells count="1">
    <mergeCell ref="A2:W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cols>
    <col width="10" customWidth="1" min="1" max="1"/>
    <col width="12" customWidth="1" min="2" max="2"/>
    <col width="80" customWidth="1" min="3" max="3"/>
  </cols>
  <sheetData>
    <row r="1">
      <c r="A1" s="4" t="inlineStr">
        <is>
          <t>Курсы валют: единиц валюты за 1 EUR, 09.10.2026</t>
        </is>
      </c>
    </row>
    <row r="3">
      <c r="A3" s="18" t="inlineStr">
        <is>
          <t>Валюта</t>
        </is>
      </c>
      <c r="B3" s="18" t="inlineStr">
        <is>
          <t>За 1 EUR</t>
        </is>
      </c>
      <c r="C3" s="18" t="inlineStr">
        <is>
          <t>Источник</t>
        </is>
      </c>
    </row>
    <row r="4">
      <c r="A4" s="19" t="inlineStr">
        <is>
          <t>EUR</t>
        </is>
      </c>
      <c r="B4" s="20" t="n">
        <v>1</v>
      </c>
      <c r="C4" s="19" t="inlineStr">
        <is>
          <t>ECB reference rate 09.10.2026 (api.frankfurter.dev)</t>
        </is>
      </c>
    </row>
    <row r="5">
      <c r="A5" s="19" t="inlineStr">
        <is>
          <t>AUD</t>
        </is>
      </c>
      <c r="B5" s="20" t="n">
        <v>1.6052</v>
      </c>
      <c r="C5" s="19" t="inlineStr">
        <is>
          <t>ECB reference rate 09.10.2026 (api.frankfurter.dev)</t>
        </is>
      </c>
    </row>
    <row r="6">
      <c r="A6" s="19" t="inlineStr">
        <is>
          <t>BRL</t>
        </is>
      </c>
      <c r="B6" s="20" t="n">
        <v>5.6086</v>
      </c>
      <c r="C6" s="19" t="inlineStr">
        <is>
          <t>ECB reference rate 09.10.2026 (api.frankfurter.dev)</t>
        </is>
      </c>
    </row>
    <row r="7">
      <c r="A7" s="19" t="inlineStr">
        <is>
          <t>CAD</t>
        </is>
      </c>
      <c r="B7" s="20" t="n">
        <v>1.5942</v>
      </c>
      <c r="C7" s="19" t="inlineStr">
        <is>
          <t>ECB reference rate 09.10.2026 (api.frankfurter.dev)</t>
        </is>
      </c>
    </row>
    <row r="8">
      <c r="A8" s="19" t="inlineStr">
        <is>
          <t>CHF</t>
        </is>
      </c>
      <c r="B8" s="20" t="n">
        <v>0.9313</v>
      </c>
      <c r="C8" s="19" t="inlineStr">
        <is>
          <t>ECB reference rate 09.10.2026 (api.frankfurter.dev)</t>
        </is>
      </c>
    </row>
    <row r="9">
      <c r="A9" s="19" t="inlineStr">
        <is>
          <t>CZK</t>
        </is>
      </c>
      <c r="B9" s="20" t="n">
        <v>24.369</v>
      </c>
      <c r="C9" s="19" t="inlineStr">
        <is>
          <t>ECB reference rate 09.10.2026 (api.frankfurter.dev)</t>
        </is>
      </c>
    </row>
    <row r="10">
      <c r="A10" s="19" t="inlineStr">
        <is>
          <t>DKK</t>
        </is>
      </c>
      <c r="B10" s="20" t="n">
        <v>7.4751</v>
      </c>
      <c r="C10" s="19" t="inlineStr">
        <is>
          <t>ECB reference rate 09.10.2026 (api.frankfurter.dev)</t>
        </is>
      </c>
    </row>
    <row r="11">
      <c r="A11" s="19" t="inlineStr">
        <is>
          <t>GBP</t>
        </is>
      </c>
      <c r="B11" s="20" t="n">
        <v>0.84763</v>
      </c>
      <c r="C11" s="19" t="inlineStr">
        <is>
          <t>ECB reference rate 09.10.2026 (api.frankfurter.dev)</t>
        </is>
      </c>
    </row>
    <row r="12">
      <c r="A12" s="19" t="inlineStr">
        <is>
          <t>HKD</t>
        </is>
      </c>
      <c r="B12" s="20" t="n">
        <v>8.794</v>
      </c>
      <c r="C12" s="19" t="inlineStr">
        <is>
          <t>ECB reference rate 09.10.2026 (api.frankfurter.dev)</t>
        </is>
      </c>
    </row>
    <row r="13">
      <c r="A13" s="19" t="inlineStr">
        <is>
          <t>HUF</t>
        </is>
      </c>
      <c r="B13" s="20" t="n">
        <v>365.08</v>
      </c>
      <c r="C13" s="19" t="inlineStr">
        <is>
          <t>ECB reference rate 09.10.2026 (api.frankfurter.dev)</t>
        </is>
      </c>
    </row>
    <row r="14">
      <c r="A14" s="19" t="inlineStr">
        <is>
          <t>IDR</t>
        </is>
      </c>
      <c r="B14" s="20" t="n">
        <v>20036.94</v>
      </c>
      <c r="C14" s="19" t="inlineStr">
        <is>
          <t>ECB reference rate 09.10.2026 (api.frankfurter.dev)</t>
        </is>
      </c>
    </row>
    <row r="15">
      <c r="A15" s="19" t="inlineStr">
        <is>
          <t>ILS</t>
        </is>
      </c>
      <c r="B15" s="20" t="n">
        <v>3.426</v>
      </c>
      <c r="C15" s="19" t="inlineStr">
        <is>
          <t>ECB reference rate 09.10.2026 (api.frankfurter.dev)</t>
        </is>
      </c>
    </row>
    <row r="16">
      <c r="A16" s="19" t="inlineStr">
        <is>
          <t>INR</t>
        </is>
      </c>
      <c r="B16" s="20" t="n">
        <v>108.3965</v>
      </c>
      <c r="C16" s="19" t="inlineStr">
        <is>
          <t>ECB reference rate 09.10.2026 (api.frankfurter.dev)</t>
        </is>
      </c>
    </row>
    <row r="17">
      <c r="A17" s="19" t="inlineStr">
        <is>
          <t>JPY</t>
        </is>
      </c>
      <c r="B17" s="20" t="n">
        <v>177.34</v>
      </c>
      <c r="C17" s="19" t="inlineStr">
        <is>
          <t>ECB reference rate 09.10.2026 (api.frankfurter.dev)</t>
        </is>
      </c>
    </row>
    <row r="18">
      <c r="A18" s="19" t="inlineStr">
        <is>
          <t>KRW</t>
        </is>
      </c>
      <c r="B18" s="20" t="n">
        <v>1503.27</v>
      </c>
      <c r="C18" s="19" t="inlineStr">
        <is>
          <t>ECB reference rate 09.10.2026 (api.frankfurter.dev)</t>
        </is>
      </c>
    </row>
    <row r="19">
      <c r="A19" s="19" t="inlineStr">
        <is>
          <t>MXN</t>
        </is>
      </c>
      <c r="B19" s="20" t="n">
        <v>20.395</v>
      </c>
      <c r="C19" s="19" t="inlineStr">
        <is>
          <t>ECB reference rate 09.10.2026 (api.frankfurter.dev)</t>
        </is>
      </c>
    </row>
    <row r="20">
      <c r="A20" s="19" t="inlineStr">
        <is>
          <t>MYR</t>
        </is>
      </c>
      <c r="B20" s="20" t="n">
        <v>4.5777</v>
      </c>
      <c r="C20" s="19" t="inlineStr">
        <is>
          <t>ECB reference rate 09.10.2026 (api.frankfurter.dev)</t>
        </is>
      </c>
    </row>
    <row r="21">
      <c r="A21" s="19" t="inlineStr">
        <is>
          <t>NOK</t>
        </is>
      </c>
      <c r="B21" s="20" t="n">
        <v>10.7155</v>
      </c>
      <c r="C21" s="19" t="inlineStr">
        <is>
          <t>ECB reference rate 09.10.2026 (api.frankfurter.dev)</t>
        </is>
      </c>
    </row>
    <row r="22">
      <c r="A22" s="19" t="inlineStr">
        <is>
          <t>NZD</t>
        </is>
      </c>
      <c r="B22" s="20" t="n">
        <v>1.9961</v>
      </c>
      <c r="C22" s="19" t="inlineStr">
        <is>
          <t>ECB reference rate 09.10.2026 (api.frankfurter.dev)</t>
        </is>
      </c>
    </row>
    <row r="23">
      <c r="A23" s="19" t="inlineStr">
        <is>
          <t>PHP</t>
        </is>
      </c>
      <c r="B23" s="20" t="n">
        <v>70.39700000000001</v>
      </c>
      <c r="C23" s="19" t="inlineStr">
        <is>
          <t>ECB reference rate 09.10.2026 (api.frankfurter.dev)</t>
        </is>
      </c>
    </row>
    <row r="24">
      <c r="A24" s="19" t="inlineStr">
        <is>
          <t>PLN</t>
        </is>
      </c>
      <c r="B24" s="20" t="n">
        <v>4.3835</v>
      </c>
      <c r="C24" s="19" t="inlineStr">
        <is>
          <t>ECB reference rate 09.10.2026 (api.frankfurter.dev)</t>
        </is>
      </c>
    </row>
    <row r="25">
      <c r="A25" s="19" t="inlineStr">
        <is>
          <t>RON</t>
        </is>
      </c>
      <c r="B25" s="20" t="n">
        <v>5.3406</v>
      </c>
      <c r="C25" s="19" t="inlineStr">
        <is>
          <t>ECB reference rate 09.10.2026 (api.frankfurter.dev)</t>
        </is>
      </c>
    </row>
    <row r="26">
      <c r="A26" s="19" t="inlineStr">
        <is>
          <t>SEK</t>
        </is>
      </c>
      <c r="B26" s="20" t="n">
        <v>11.1675</v>
      </c>
      <c r="C26" s="19" t="inlineStr">
        <is>
          <t>ECB reference rate 09.10.2026 (api.frankfurter.dev)</t>
        </is>
      </c>
    </row>
    <row r="27">
      <c r="A27" s="19" t="inlineStr">
        <is>
          <t>SGD</t>
        </is>
      </c>
      <c r="B27" s="20" t="n">
        <v>1.4348</v>
      </c>
      <c r="C27" s="19" t="inlineStr">
        <is>
          <t>ECB reference rate 09.10.2026 (api.frankfurter.dev)</t>
        </is>
      </c>
    </row>
    <row r="28">
      <c r="A28" s="19" t="inlineStr">
        <is>
          <t>THB</t>
        </is>
      </c>
      <c r="B28" s="20" t="n">
        <v>37.574</v>
      </c>
      <c r="C28" s="19" t="inlineStr">
        <is>
          <t>ECB reference rate 09.10.2026 (api.frankfurter.dev)</t>
        </is>
      </c>
    </row>
    <row r="29">
      <c r="A29" s="19" t="inlineStr">
        <is>
          <t>TRY</t>
        </is>
      </c>
      <c r="B29" s="20" t="n">
        <v>55.1033</v>
      </c>
      <c r="C29" s="19" t="inlineStr">
        <is>
          <t>ECB reference rate 09.10.2026 (api.frankfurter.dev)</t>
        </is>
      </c>
    </row>
    <row r="30">
      <c r="A30" s="19" t="inlineStr">
        <is>
          <t>USD</t>
        </is>
      </c>
      <c r="B30" s="20" t="n">
        <v>1.1206</v>
      </c>
      <c r="C30" s="19" t="inlineStr">
        <is>
          <t>ECB reference rate 09.10.2026 (api.frankfurter.dev)</t>
        </is>
      </c>
    </row>
    <row r="31">
      <c r="A31" s="19" t="inlineStr">
        <is>
          <t>UAH</t>
        </is>
      </c>
      <c r="B31" s="20" t="n">
        <v>50.186779</v>
      </c>
      <c r="C31" s="19" t="inlineStr">
        <is>
          <t>open.er-api.com, обновлено 09.10.2026 00:02 UTC (ECB эту валюту не публикует)</t>
        </is>
      </c>
    </row>
    <row r="32">
      <c r="A32" s="19" t="inlineStr">
        <is>
          <t>KZT</t>
        </is>
      </c>
      <c r="B32" s="20" t="n">
        <v>503.241371</v>
      </c>
      <c r="C32" s="19" t="inlineStr">
        <is>
          <t>open.er-api.com, обновлено 09.10.2026 00:02 UTC (ECB эту валюту не публикует)</t>
        </is>
      </c>
    </row>
    <row r="33">
      <c r="A33" s="19" t="inlineStr">
        <is>
          <t>GEL</t>
        </is>
      </c>
      <c r="B33" s="20" t="n">
        <v>2.908453</v>
      </c>
      <c r="C33" s="19" t="inlineStr">
        <is>
          <t>open.er-api.com, обновлено 09.10.2026 00:02 UTC (ECB эту валюту не публикует)</t>
        </is>
      </c>
    </row>
    <row r="34">
      <c r="A34" s="19" t="inlineStr">
        <is>
          <t>AMD</t>
        </is>
      </c>
      <c r="B34" s="20" t="n">
        <v>405.181948</v>
      </c>
      <c r="C34" s="19" t="inlineStr">
        <is>
          <t>open.er-api.com, обновлено 09.10.2026 00:02 UTC (ECB эту валюту не публикует)</t>
        </is>
      </c>
    </row>
    <row r="35">
      <c r="A35" s="19" t="inlineStr">
        <is>
          <t>AZN</t>
        </is>
      </c>
      <c r="B35" s="20" t="n">
        <v>1.90133</v>
      </c>
      <c r="C35" s="19" t="inlineStr">
        <is>
          <t>open.er-api.com, обновлено 09.10.2026 00:02 UTC (ECB эту валюту не публикует)</t>
        </is>
      </c>
    </row>
    <row r="36">
      <c r="A36" s="19" t="inlineStr">
        <is>
          <t>UZS</t>
        </is>
      </c>
      <c r="B36" s="20" t="n">
        <v>13222.41904</v>
      </c>
      <c r="C36" s="19" t="inlineStr">
        <is>
          <t>open.er-api.com, обновлено 09.10.2026 00:02 UTC (ECB эту валюту не публикует)</t>
        </is>
      </c>
    </row>
    <row r="37">
      <c r="A37" s="19" t="inlineStr">
        <is>
          <t>MDL</t>
        </is>
      </c>
      <c r="B37" s="20" t="n">
        <v>19.946214</v>
      </c>
      <c r="C37" s="19" t="inlineStr">
        <is>
          <t>open.er-api.com, обновлено 09.10.2026 00:02 UTC (ECB эту валюту не публикует)</t>
        </is>
      </c>
    </row>
    <row r="38">
      <c r="A38" s="19" t="inlineStr">
        <is>
          <t>BYN</t>
        </is>
      </c>
      <c r="B38" s="20" t="n">
        <v>3.42038</v>
      </c>
      <c r="C38" s="19" t="inlineStr">
        <is>
          <t>open.er-api.com, обновлено 09.10.2026 00:02 UTC (ECB эту валюту не публикует)</t>
        </is>
      </c>
    </row>
    <row r="39">
      <c r="A39" s="19" t="inlineStr">
        <is>
          <t>ARS</t>
        </is>
      </c>
      <c r="B39" s="20" t="n">
        <v>1701.804276</v>
      </c>
      <c r="C39" s="19" t="inlineStr">
        <is>
          <t>open.er-api.com, обновлено 09.10.2026 00:02 UTC (ECB эту валюту не публикует)</t>
        </is>
      </c>
    </row>
    <row r="40">
      <c r="A40" s="19" t="inlineStr">
        <is>
          <t>CLP</t>
        </is>
      </c>
      <c r="B40" s="20" t="n">
        <v>1094.009208</v>
      </c>
      <c r="C40" s="19" t="inlineStr">
        <is>
          <t>open.er-api.com, обновлено 09.10.2026 00:02 UTC (ECB эту валюту не публикует)</t>
        </is>
      </c>
    </row>
    <row r="41">
      <c r="A41" s="19" t="inlineStr">
        <is>
          <t>COP</t>
        </is>
      </c>
      <c r="B41" s="20" t="n">
        <v>3625.104297</v>
      </c>
      <c r="C41" s="19" t="inlineStr">
        <is>
          <t>open.er-api.com, обновлено 09.10.2026 00:02 UTC (ECB эту валюту не публикует)</t>
        </is>
      </c>
    </row>
    <row r="42">
      <c r="A42" s="19" t="inlineStr">
        <is>
          <t>PEN</t>
        </is>
      </c>
      <c r="B42" s="20" t="n">
        <v>3.852743</v>
      </c>
      <c r="C42" s="19" t="inlineStr">
        <is>
          <t>open.er-api.com, обновлено 09.10.2026 00:02 UTC (ECB эту валюту не публикует)</t>
        </is>
      </c>
    </row>
    <row r="43">
      <c r="A43" s="19" t="inlineStr">
        <is>
          <t>UYU</t>
        </is>
      </c>
      <c r="B43" s="20" t="n">
        <v>44.833697</v>
      </c>
      <c r="C43" s="19" t="inlineStr">
        <is>
          <t>open.er-api.com, обновлено 09.10.2026 00:02 UTC (ECB эту валюту не публикует)</t>
        </is>
      </c>
    </row>
    <row r="44">
      <c r="A44" s="19" t="inlineStr">
        <is>
          <t>BGN</t>
        </is>
      </c>
      <c r="B44" s="20" t="n">
        <v>1.95583</v>
      </c>
      <c r="C44" s="19" t="inlineStr">
        <is>
          <t>open.er-api.com, обновлено 09.10.2026 00:02 UTC (ECB эту валюту не публикует)</t>
        </is>
      </c>
    </row>
    <row r="45">
      <c r="A45" s="19" t="inlineStr">
        <is>
          <t>RSD</t>
        </is>
      </c>
      <c r="B45" s="20" t="n">
        <v>117.372216</v>
      </c>
      <c r="C45" s="19" t="inlineStr">
        <is>
          <t>open.er-api.com, обновлено 09.10.2026 00:02 UTC (ECB эту валюту не публикует)</t>
        </is>
      </c>
    </row>
    <row r="46">
      <c r="A46" s="19" t="inlineStr">
        <is>
          <t>TWD</t>
        </is>
      </c>
      <c r="B46" s="20" t="n">
        <v>35.782058</v>
      </c>
      <c r="C46" s="19" t="inlineStr">
        <is>
          <t>open.er-api.com, обновлено 09.10.2026 00:02 UTC (ECB эту валюту не публикует)</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6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22" customWidth="1" min="3" max="3"/>
    <col width="16" customWidth="1" min="4" max="4"/>
    <col width="8" customWidth="1" min="5" max="5"/>
    <col width="14" customWidth="1" min="6" max="6"/>
    <col width="40" customWidth="1" min="7" max="7"/>
    <col width="14" customWidth="1" min="8" max="8"/>
    <col width="50" customWidth="1" min="9" max="9"/>
    <col width="26" customWidth="1" min="10" max="10"/>
    <col width="34" customWidth="1" min="11" max="11"/>
    <col width="16" customWidth="1" min="12" max="12"/>
    <col width="26" customWidth="1" min="13" max="13"/>
    <col width="26" customWidth="1" min="14" max="14"/>
    <col width="26" customWidth="1" min="15" max="15"/>
    <col width="30" customWidth="1" min="16" max="16"/>
    <col width="18" customWidth="1" min="17" max="17"/>
    <col width="60" customWidth="1" min="18" max="18"/>
    <col width="30" customWidth="1" min="19" max="19"/>
    <col width="26" customWidth="1" min="20" max="20"/>
    <col width="30" customWidth="1" min="21" max="21"/>
    <col width="10" customWidth="1" min="22" max="22"/>
    <col width="50" customWidth="1" min="23" max="23"/>
  </cols>
  <sheetData>
    <row r="1">
      <c r="A1" s="7" t="inlineStr">
        <is>
          <t>Регион</t>
        </is>
      </c>
      <c r="B1" s="7" t="inlineStr">
        <is>
          <t>Платформа</t>
        </is>
      </c>
      <c r="C1" s="7" t="inlineStr">
        <is>
          <t>Сайт</t>
        </is>
      </c>
      <c r="D1" s="7" t="inlineStr">
        <is>
          <t>Рынок</t>
        </is>
      </c>
      <c r="E1" s="7" t="inlineStr">
        <is>
          <t>Валюта</t>
        </is>
      </c>
      <c r="F1" s="7" t="inlineStr">
        <is>
          <t>Движение денег</t>
        </is>
      </c>
      <c r="G1" s="7" t="inlineStr">
        <is>
          <t>Как берёт деньги / выплаты</t>
        </is>
      </c>
      <c r="H1" s="7" t="inlineStr">
        <is>
          <t>Модель</t>
        </is>
      </c>
      <c r="I1" s="7" t="inlineStr">
        <is>
          <t>Тарифы и сбор за билет</t>
        </is>
      </c>
      <c r="J1" s="7" t="inlineStr">
        <is>
          <t>Предоплата</t>
        </is>
      </c>
      <c r="K1" s="7" t="inlineStr">
        <is>
          <t>Эквайринг</t>
        </is>
      </c>
      <c r="L1" s="7" t="inlineStr">
        <is>
          <t>Кто платит</t>
        </is>
      </c>
      <c r="M1" s="7" t="inlineStr">
        <is>
          <t>Бесплатные билеты</t>
        </is>
      </c>
      <c r="N1" s="7" t="inlineStr">
        <is>
          <t>Рассадка</t>
        </is>
      </c>
      <c r="O1" s="7" t="inlineStr">
        <is>
          <t>Выплаты</t>
        </is>
      </c>
      <c r="P1" s="7" t="inlineStr">
        <is>
          <t>Возвраты и чарджбэки</t>
        </is>
      </c>
      <c r="Q1" s="7" t="inlineStr">
        <is>
          <t>НДС</t>
        </is>
      </c>
      <c r="R1" s="7" t="inlineStr">
        <is>
          <t>Мелкий шрифт (звёздочки)</t>
        </is>
      </c>
      <c r="S1" s="7" t="inlineStr">
        <is>
          <t>Доп. услуги</t>
        </is>
      </c>
      <c r="T1" s="7" t="inlineStr">
        <is>
          <t>Enterprise / по запросу</t>
        </is>
      </c>
      <c r="U1" s="7" t="inlineStr">
        <is>
          <t>Сегмент</t>
        </is>
      </c>
      <c r="V1" s="7" t="inlineStr">
        <is>
          <t>Уверенность</t>
        </is>
      </c>
      <c r="W1" s="7" t="inlineStr">
        <is>
          <t>Источники</t>
        </is>
      </c>
    </row>
    <row r="2">
      <c r="A2" s="2" t="inlineStr">
        <is>
          <t>Глобальные self-serve</t>
        </is>
      </c>
      <c r="B2" s="21" t="inlineStr">
        <is>
          <t>Ticket Tailor</t>
        </is>
      </c>
      <c r="C2" s="2" t="inlineStr">
        <is>
          <t>https://www.tickettailor.com</t>
        </is>
      </c>
      <c r="D2" s="2" t="inlineStr">
        <is>
          <t>UK</t>
        </is>
      </c>
      <c r="E2" s="2" t="inlineStr">
        <is>
          <t>GBP</t>
        </is>
      </c>
      <c r="F2" s="2" t="inlineStr">
        <is>
          <t>direct merchant</t>
        </is>
      </c>
      <c r="G2" s="2" t="inlineStr">
        <is>
          <t>Direct merchant: buyer pays straight into the organizer's own Stripe/PayPal/Square account (revenue appears almost immediately, bank transfer takes about a week); TT never holds the money. TT fee collection: Pre-pay = card charged immediately when credits are bought (optional auto top-up monthly or when &lt;=25 credits left). PAYG on Stripe = fee deducted automatically at the point of sale; PAYG on PayPal/Square/offline = TT charges the organizer's card on file monthly, or every 50 usage units, or 2 days after the last event ends.</t>
        </is>
      </c>
      <c r="H2" s="2" t="inlineStr">
        <is>
          <t>flat_per_ticket</t>
        </is>
      </c>
      <c r="I2" s="2" t="inlineStr">
        <is>
          <t>• Free (free tickets): +0.0 — Up to 5,000 free tickets/year, no fee — First 5 paid sales also free
• Pay as you go (PAYG): +0.6 — All features, flat fee per usage, no subscription — Stripe: deducted at sale; PayPal/Square: billed to card
• Pre-pay credits:  — Same features; lower unit price when credits are bought in advance — See prepaid bundles; credits never expire; running out falls back to PAYG automatically; minimum bundle 100 credits</t>
        </is>
      </c>
      <c r="J2" s="2" t="inlineStr">
        <is>
          <t>• 500 credits: 0.41 (срок: none; возврат: None)
• largest bundles: 0.22 (срок: none; возврат: None)</t>
        </is>
      </c>
      <c r="K2" s="2" t="inlineStr">
        <is>
          <t>включён: False; свой процессинг: True; Stripe, PayPal, Square; Stripe UK 1.5% + GBP 0.20 (example)</t>
        </is>
      </c>
      <c r="L2" s="2" t="inlineStr">
        <is>
          <t>configurable (organizer adds own booking/transaction fee; default is organizer absorbs)</t>
        </is>
      </c>
      <c r="M2" s="2" t="inlineStr">
        <is>
          <t>Free tickets are free up to 5,000/year; first 5 paid tickets free.</t>
        </is>
      </c>
      <c r="N2" s="2" t="inlineStr">
        <is>
          <t>Seat reservation costs 1 extra usage per seated ticket: PAYG +GBP 0.60 (a paid seated ticket = GBP 1.20); pre-pay: +1 credit. A free seated ticket still costs 1 usage. Charity discount applies; marking seats not-for-sale is free.</t>
        </is>
      </c>
      <c r="O2" s="2" t="inlineStr">
        <is>
          <t>Immediate into organizer's Stripe/PayPal/Square; no payout by TT.</t>
        </is>
      </c>
      <c r="P2" s="2" t="inlineStr">
        <is>
          <t>No refund of TT fee/credit on refund or cancel; processor fees usually not returned either. No TT chargeback fee found on pages read.</t>
        </is>
      </c>
      <c r="Q2" s="2" t="inlineStr">
        <is>
          <t>TT fees shown excl. VAT; VAT/sales tax added where applicable</t>
        </is>
      </c>
      <c r="R2" s="2" t="inlineStr">
        <is>
          <t>• Charged per 'usage', not on ticket price: paid ticket = 1 usage; seated paid ticket = 2; free ticket = 0; free seated ticket = 1; product sale = 1; ticket issued via API (even free) = 1; imported ticket (even free) = 1; every ticket in a paid bundle = 1; a voucher-covered order is still charged.
• First 5 ticket sales are free; the standard rate starts from the sixth paid ticket (pricing page FAQ).
• Free tickets free within fair usage: the pricing page says 5,000 free tickets/year but its FAQ also mentions 'more than 2,000' in another answer; above fair usage TT gives a per-free-ticket quote via support.
• Fees are not refunded when a ticket is refunded or cancelled (credits/PAYG fee kept); order transfer is free.
• Discounts (apply via billing page, at TT's discretion): 50% for registered charities (forever), 20% for B Corps/PTAs/CICs/non-profits/BBN, half-usage for tickets under 5 incl. booking fees (a seated 5 ticket = 1.5 usage), 50% for Music Venue Trust members, 50% for Round Tables, 6 months free for Art Tickets users. Only one discount at a time; none applies to white-label/custom-domain prices or processor fees.
• Refund protection: buyers can add it for 8% of ticket price; organizer keeps 10% of that fee, rest goes to TT (collected via PAYG).
• SMS/WhatsApp reminders: TT charges 0.10 per event per order (GBP/USD) for buyers who opt in; organizer keeps any excess of the suggested fee.
• TT does not touch the payment: Stripe, PayPal, Square or offline needed; TT fees are on top of processor fees; credits do not cover processing.
• VAT and sales tax charged on TT fees where applicable; TT prices are shown excl. VAT.
• No subscription, no contract; credits never expire; credits can be transferred between the organizer's box offices.
• Pass-on of fees is manual: organizer adds a booking fee (per ticket) and/or transaction fee (per order, % and/or fixed); no automatic 'pass all fees' toggle. TT warns US sellers about the FTC junk-fees rule.
• GBP bundle table: only the 500-credit (GBP 0.41) and 'from GBP 0.22' figures were readable.</t>
        </is>
      </c>
      <c r="S2" s="2" t="inlineStr">
        <is>
          <t>• {"name": "White label (logo removal + custom domain)", "price": "GBP 39/month; custom domain alone GBP 7/month"}
• {"name": "HubSpot/ActiveCampaign/Constant Contact integrations", "price": "monthly fee shown in account (amount not public)"}
• {"name": "Free check-in app", "price": "free"}</t>
        </is>
      </c>
      <c r="T2" s="2" t="inlineStr">
        <is>
          <t>Very large free events / above fair usage: ask support for a quote; 'Book a demo' for larger organizers (no public enterprise price)</t>
        </is>
      </c>
      <c r="U2" s="2" t="inlineStr">
        <is>
          <t>self-serve, small/mid organizers (shows, workshops, venues, charities); flat fee per ticket, bring-your-own processor</t>
        </is>
      </c>
      <c r="V2" s="2" t="inlineStr">
        <is>
          <t>page</t>
        </is>
      </c>
      <c r="W2" s="2" t="inlineStr">
        <is>
          <t>https://www.tickettailor.com/pricing (pricing page + FAQ)
https://help.tickettailor.com/en/articles/6731528-how-much-does-ticket-tailor-cost-and-how-will-i-be-charged (help centre: how much does TT cost)
https://help.tickettailor.com/en/articles/4096561-what-are-the-fees-for-using-seating-charts (help centre: seating chart fees)
https://help.tickettailor.com/en/articles/4725866-how-do-pre-pay-ticket-credits-work (help centre: pre-pay credits)
https://help.tickettailor.com/en/articles/8687492-what-discounts-do-we-offer (help centre: discounts)
https://help.tickettailor.com/en/articles/5210356-how-to-pass-fees-onto-your-ticket-buyers (help centre: passing fees on)</t>
        </is>
      </c>
    </row>
    <row r="3">
      <c r="A3" s="2" t="inlineStr">
        <is>
          <t>Глобальные self-serve</t>
        </is>
      </c>
      <c r="B3" s="21" t="inlineStr">
        <is>
          <t>Ticket Tailor</t>
        </is>
      </c>
      <c r="C3" s="2" t="inlineStr">
        <is>
          <t>https://www.tickettailor.com</t>
        </is>
      </c>
      <c r="D3" s="2" t="inlineStr">
        <is>
          <t>US</t>
        </is>
      </c>
      <c r="E3" s="2" t="inlineStr">
        <is>
          <t>USD</t>
        </is>
      </c>
      <c r="F3" s="2" t="inlineStr">
        <is>
          <t>direct merchant</t>
        </is>
      </c>
      <c r="G3" s="2" t="inlineStr">
        <is>
          <t>Direct merchant: buyer pays straight into the organizer's own Stripe/PayPal/Square account (revenue appears almost immediately, bank transfer takes about a week); TT never holds the money. TT fee collection: Pre-pay = card charged immediately when credits are bought (optional auto top-up monthly or when &lt;=25 credits left). PAYG on Stripe = fee deducted automatically at the point of sale; PAYG on PayPal/Square/offline = TT charges the organizer's card on file monthly, or every 50 usage units, or 2 days after the last event ends.</t>
        </is>
      </c>
      <c r="H3" s="2" t="inlineStr">
        <is>
          <t>flat_per_ticket</t>
        </is>
      </c>
      <c r="I3" s="2" t="inlineStr">
        <is>
          <t>• Free (free tickets): +0.0 — Up to 5,000 free tickets/year, no fee — First 5 paid sales also free
• Pay as you go (PAYG): +0.85 — All features, flat fee per usage, no subscription — Stripe: deducted at sale; PayPal/Square: billed to card
• Pre-pay credits:  — Same features; lower unit price when credits are bought in advance — See prepaid bundles; credits never expire; running out falls back to PAYG automatically; minimum bundle 100 credits</t>
        </is>
      </c>
      <c r="J3" s="2" t="inlineStr">
        <is>
          <t>• 100 credits: 0.7 (срок: none; возврат: None)
• 500 credits: 0.6 (срок: none; возврат: None)
• 1,000 credits: 0.52 (срок: none; возврат: None)
• 5,000 credits: 0.43 (срок: none; возврат: None)
• 10,000 credits: 0.39 (срок: none; возврат: None)
• 20,000+ credits: 0.34 (срок: none; возврат: None)</t>
        </is>
      </c>
      <c r="K3" s="2" t="inlineStr">
        <is>
          <t>включён: False; свой процессинг: True; Stripe, PayPal, Square; Stripe US 2.9% + $0.30 (example)</t>
        </is>
      </c>
      <c r="L3" s="2" t="inlineStr">
        <is>
          <t>configurable (organizer adds own booking/transaction fee; default is organizer absorbs)</t>
        </is>
      </c>
      <c r="M3" s="2" t="inlineStr">
        <is>
          <t>Free tickets are free up to 5,000/year; first 5 paid tickets free.</t>
        </is>
      </c>
      <c r="N3" s="2" t="inlineStr">
        <is>
          <t>Seat reservation: PAYG +$0.85 per seated ticket (paid seated ticket = $1.70); pre-pay: +1 credit.</t>
        </is>
      </c>
      <c r="O3" s="2" t="inlineStr">
        <is>
          <t>Immediate into organizer's Stripe/PayPal/Square; no payout by TT.</t>
        </is>
      </c>
      <c r="P3" s="2" t="inlineStr">
        <is>
          <t>No refund of TT fee/credit on refund or cancel; processor fees usually not returned either. No TT chargeback fee found on pages read.</t>
        </is>
      </c>
      <c r="Q3" s="2" t="inlineStr">
        <is>
          <t>TT fees shown excl. VAT; VAT/sales tax added where applicable</t>
        </is>
      </c>
      <c r="R3" s="2" t="inlineStr">
        <is>
          <t>• Charged per 'usage', not on ticket price: paid ticket = 1 usage; seated paid ticket = 2; free ticket = 0; free seated ticket = 1; product sale = 1; ticket issued via API (even free) = 1; imported ticket (even free) = 1; every ticket in a paid bundle = 1; a voucher-covered order is still charged.
• First 5 ticket sales are free; the standard rate starts from the sixth paid ticket (pricing page FAQ).
• Free tickets free within fair usage: the pricing page says 5,000 free tickets/year but its FAQ also mentions 'more than 2,000' in another answer; above fair usage TT gives a per-free-ticket quote via support.
• Fees are not refunded when a ticket is refunded or cancelled (credits/PAYG fee kept); order transfer is free.
• Discounts (apply via billing page, at TT's discretion): 50% for registered charities (forever), 20% for B Corps/PTAs/CICs/non-profits/BBN, half-usage for tickets under 5 incl. booking fees (a seated 5 ticket = 1.5 usage), 50% for Music Venue Trust members, 50% for Round Tables, 6 months free for Art Tickets users. Only one discount at a time; none applies to white-label/custom-domain prices or processor fees.
• Refund protection: buyers can add it for 8% of ticket price; organizer keeps 10% of that fee, rest goes to TT (collected via PAYG).
• SMS/WhatsApp reminders: TT charges 0.10 per event per order (GBP/USD) for buyers who opt in; organizer keeps any excess of the suggested fee.
• TT does not touch the payment: Stripe, PayPal, Square or offline needed; TT fees are on top of processor fees; credits do not cover processing.
• VAT and sales tax charged on TT fees where applicable; TT prices are shown excl. VAT.
• No subscription, no contract; credits never expire; credits can be transferred between the organizer's box offices.
• Pass-on of fees is manual: organizer adds a booking fee (per ticket) and/or transaction fee (per order, % and/or fixed); no automatic 'pass all fees' toggle. TT warns US sellers about the FTC junk-fees rule.
• US credit tiers come from a competitor's (TixFox) reading of TT's USD calculator on 2026-10-08, not from a statically rendered TT page; TT's own headline says credits start 'from $0.30'.</t>
        </is>
      </c>
      <c r="S3" s="2" t="inlineStr">
        <is>
          <t>• {"name": "White label (logo removal + custom domain)", "price": "$49/month; custom domain alone $8/month"}
• {"name": "HubSpot/ActiveCampaign/Constant Contact integrations", "price": "monthly fee shown in account (amount not public)"}
• {"name": "Free check-in app", "price": "free"}</t>
        </is>
      </c>
      <c r="T3" s="2" t="inlineStr">
        <is>
          <t>Very large free events / above fair usage: ask support for a quote; 'Book a demo' for larger organizers (no public enterprise price)</t>
        </is>
      </c>
      <c r="U3" s="2" t="inlineStr">
        <is>
          <t>self-serve, small/mid organizers (shows, workshops, venues, charities); flat fee per ticket, bring-your-own processor</t>
        </is>
      </c>
      <c r="V3" s="2" t="inlineStr">
        <is>
          <t>third_party</t>
        </is>
      </c>
      <c r="W3" s="2" t="inlineStr">
        <is>
          <t>https://www.tickettailor.com/pricing (pricing page + FAQ)
https://help.tickettailor.com/en/articles/6731528-how-much-does-ticket-tailor-cost-and-how-will-i-be-charged (help centre: how much does TT cost)
https://help.tickettailor.com/en/articles/4096561-what-are-the-fees-for-using-seating-charts (help centre: seating chart fees)
https://help.tickettailor.com/en/articles/4725866-how-do-pre-pay-ticket-credits-work (help centre: pre-pay credits)
https://help.tickettailor.com/en/articles/8687492-what-discounts-do-we-offer (help centre: discounts)
https://help.tickettailor.com/en/articles/5210356-how-to-pass-fees-onto-your-ticket-buyers (help centre: passing fees on)
https://tixfox.co/blog/ticket-tailor-fees (third-party (TixFox) read of US credit tiers)</t>
        </is>
      </c>
    </row>
    <row r="4">
      <c r="A4" s="2" t="inlineStr">
        <is>
          <t>Глобальные self-serve</t>
        </is>
      </c>
      <c r="B4" s="21" t="inlineStr">
        <is>
          <t>Ticket Tailor</t>
        </is>
      </c>
      <c r="C4" s="2" t="inlineStr">
        <is>
          <t>https://www.tickettailor.com</t>
        </is>
      </c>
      <c r="D4" s="2" t="inlineStr">
        <is>
          <t>Eurozone</t>
        </is>
      </c>
      <c r="E4" s="2" t="inlineStr">
        <is>
          <t>EUR</t>
        </is>
      </c>
      <c r="F4" s="2" t="inlineStr">
        <is>
          <t>direct merchant</t>
        </is>
      </c>
      <c r="G4" s="2" t="inlineStr">
        <is>
          <t>Direct merchant: buyer pays straight into the organizer's own Stripe/PayPal/Square account (revenue appears almost immediately, bank transfer takes about a week); TT never holds the money. TT fee collection: Pre-pay = card charged immediately when credits are bought (optional auto top-up monthly or when &lt;=25 credits left). PAYG on Stripe = fee deducted automatically at the point of sale; PAYG on PayPal/Square/offline = TT charges the organizer's card on file monthly, or every 50 usage units, or 2 days after the last event ends.</t>
        </is>
      </c>
      <c r="H4" s="2" t="inlineStr">
        <is>
          <t>flat_per_ticket</t>
        </is>
      </c>
      <c r="I4" s="2" t="inlineStr">
        <is>
          <t>• Free (free tickets): +0.0 — Up to 5,000 free tickets/year, no fee — First 5 paid sales also free
• Pay as you go (PAYG): +0.7 — All features, flat fee per usage, no subscription — Stripe: deducted at sale; PayPal/Square: billed to card
• Pre-pay credits:  — Same features; lower unit price when credits are bought in advance — See prepaid bundles; credits never expire; running out falls back to PAYG automatically; minimum bundle 100 credits</t>
        </is>
      </c>
      <c r="J4" s="2" t="inlineStr">
        <is>
          <t>• credit bundles: 0.3 (срок: none; возврат: None)</t>
        </is>
      </c>
      <c r="K4" s="2" t="inlineStr">
        <is>
          <t>включён: False; свой процессинг: True; Stripe, PayPal, Square; Stripe Eurozone 1.5% + EUR 0.25 (example)</t>
        </is>
      </c>
      <c r="L4" s="2" t="inlineStr">
        <is>
          <t>configurable (organizer adds own booking/transaction fee; default is organizer absorbs)</t>
        </is>
      </c>
      <c r="M4" s="2" t="inlineStr">
        <is>
          <t>Free tickets are free up to 5,000/year; first 5 paid tickets free.</t>
        </is>
      </c>
      <c r="N4" s="2" t="inlineStr">
        <is>
          <t>Seat reservation: PAYG +EUR 0.70 per seated ticket; pre-pay: +1 credit.</t>
        </is>
      </c>
      <c r="O4" s="2" t="inlineStr">
        <is>
          <t>Immediate into organizer's Stripe/PayPal/Square; no payout by TT.</t>
        </is>
      </c>
      <c r="P4" s="2" t="inlineStr">
        <is>
          <t>No refund of TT fee/credit on refund or cancel; processor fees usually not returned either. No TT chargeback fee found on pages read.</t>
        </is>
      </c>
      <c r="Q4" s="2" t="inlineStr">
        <is>
          <t>TT fees shown excl. VAT; VAT/sales tax added where applicable</t>
        </is>
      </c>
      <c r="R4" s="2" t="inlineStr">
        <is>
          <t>• Charged per 'usage', not on ticket price: paid ticket = 1 usage; seated paid ticket = 2; free ticket = 0; free seated ticket = 1; product sale = 1; ticket issued via API (even free) = 1; imported ticket (even free) = 1; every ticket in a paid bundle = 1; a voucher-covered order is still charged.
• First 5 ticket sales are free; the standard rate starts from the sixth paid ticket (pricing page FAQ).
• Free tickets free within fair usage: the pricing page says 5,000 free tickets/year but its FAQ also mentions 'more than 2,000' in another answer; above fair usage TT gives a per-free-ticket quote via support.
• Fees are not refunded when a ticket is refunded or cancelled (credits/PAYG fee kept); order transfer is free.
• Discounts (apply via billing page, at TT's discretion): 50% for registered charities (forever), 20% for B Corps/PTAs/CICs/non-profits/BBN, half-usage for tickets under 5 incl. booking fees (a seated 5 ticket = 1.5 usage), 50% for Music Venue Trust members, 50% for Round Tables, 6 months free for Art Tickets users. Only one discount at a time; none applies to white-label/custom-domain prices or processor fees.
• Refund protection: buyers can add it for 8% of ticket price; organizer keeps 10% of that fee, rest goes to TT (collected via PAYG).
• SMS/WhatsApp reminders: TT charges 0.10 per event per order (GBP/USD) for buyers who opt in; organizer keeps any excess of the suggested fee.
• TT does not touch the payment: Stripe, PayPal, Square or offline needed; TT fees are on top of processor fees; credits do not cover processing.
• VAT and sales tax charged on TT fees where applicable; TT prices are shown excl. VAT.
• No subscription, no contract; credits never expire; credits can be transferred between the organizer's box offices.
• Pass-on of fees is manual: organizer adds a booking fee (per ticket) and/or transaction fee (per order, % and/or fixed); no automatic 'pass all fees' toggle. TT warns US sellers about the FTC junk-fees rule.</t>
        </is>
      </c>
      <c r="S4" s="2" t="inlineStr">
        <is>
          <t>• {"name": "White label (logo removal + custom domain)", "price": "EUR 45/month; custom domain alone EUR 8/month"}
• {"name": "HubSpot/ActiveCampaign/Constant Contact integrations", "price": "monthly fee shown in account (amount not public)"}
• {"name": "Free check-in app", "price": "free"}</t>
        </is>
      </c>
      <c r="T4" s="2" t="inlineStr">
        <is>
          <t>Very large free events / above fair usage: ask support for a quote; 'Book a demo' for larger organizers (no public enterprise price)</t>
        </is>
      </c>
      <c r="U4" s="2" t="inlineStr">
        <is>
          <t>self-serve, small/mid organizers (shows, workshops, venues, charities); flat fee per ticket, bring-your-own processor</t>
        </is>
      </c>
      <c r="V4" s="2" t="inlineStr">
        <is>
          <t>page</t>
        </is>
      </c>
      <c r="W4" s="2" t="inlineStr">
        <is>
          <t>https://www.tickettailor.com/pricing (pricing page + FAQ)
https://help.tickettailor.com/en/articles/6731528-how-much-does-ticket-tailor-cost-and-how-will-i-be-charged (help centre: how much does TT cost)
https://help.tickettailor.com/en/articles/4096561-what-are-the-fees-for-using-seating-charts (help centre: seating chart fees)
https://help.tickettailor.com/en/articles/4725866-how-do-pre-pay-ticket-credits-work (help centre: pre-pay credits)
https://help.tickettailor.com/en/articles/8687492-what-discounts-do-we-offer (help centre: discounts)
https://help.tickettailor.com/en/articles/5210356-how-to-pass-fees-onto-your-ticket-buyers (help centre: passing fees on)</t>
        </is>
      </c>
    </row>
    <row r="5">
      <c r="A5" s="2" t="inlineStr">
        <is>
          <t>Глобальные self-serve</t>
        </is>
      </c>
      <c r="B5" s="21" t="inlineStr">
        <is>
          <t>Ticket Tailor</t>
        </is>
      </c>
      <c r="C5" s="2" t="inlineStr">
        <is>
          <t>https://www.tickettailor.com</t>
        </is>
      </c>
      <c r="D5" s="2" t="inlineStr">
        <is>
          <t>Australia</t>
        </is>
      </c>
      <c r="E5" s="2" t="inlineStr">
        <is>
          <t>AUD</t>
        </is>
      </c>
      <c r="F5" s="2" t="inlineStr">
        <is>
          <t>direct merchant</t>
        </is>
      </c>
      <c r="G5" s="2" t="inlineStr">
        <is>
          <t>Direct merchant: buyer pays straight into the organizer's own Stripe/PayPal/Square account (revenue appears almost immediately, bank transfer takes about a week); TT never holds the money. TT fee collection: Pre-pay = card charged immediately when credits are bought (optional auto top-up monthly or when &lt;=25 credits left). PAYG on Stripe = fee deducted automatically at the point of sale; PAYG on PayPal/Square/offline = TT charges the organizer's card on file monthly, or every 50 usage units, or 2 days after the last event ends.</t>
        </is>
      </c>
      <c r="H5" s="2" t="inlineStr">
        <is>
          <t>flat_per_ticket</t>
        </is>
      </c>
      <c r="I5" s="2" t="inlineStr">
        <is>
          <t>• Free (free tickets): +0.0 — Up to 5,000 free tickets/year, no fee — First 5 paid sales also free
• Pay as you go (PAYG): +1.1 — All features, flat fee per usage, no subscription — Stripe: deducted at sale; PayPal/Square: billed to card
• Pre-pay credits:  — Same features; lower unit price when credits are bought in advance — See prepaid bundles; credits never expire; running out falls back to PAYG automatically; minimum bundle 100 credits</t>
        </is>
      </c>
      <c r="J5" s="2" t="inlineStr">
        <is>
          <t>• credit bundles: None (срок: none; возврат: None)</t>
        </is>
      </c>
      <c r="K5" s="2" t="inlineStr">
        <is>
          <t>включён: False; свой процессинг: True; Stripe, PayPal, Square; Stripe AU 1.75% + A$0.30 (example)</t>
        </is>
      </c>
      <c r="L5" s="2" t="inlineStr">
        <is>
          <t>configurable (organizer adds own booking/transaction fee; default is organizer absorbs)</t>
        </is>
      </c>
      <c r="M5" s="2" t="inlineStr">
        <is>
          <t>Free tickets are free up to 5,000/year; first 5 paid tickets free.</t>
        </is>
      </c>
      <c r="N5" s="2" t="inlineStr">
        <is>
          <t>Seat reservation: PAYG +A$1.10 per seated ticket; pre-pay: +1 credit.</t>
        </is>
      </c>
      <c r="O5" s="2" t="inlineStr">
        <is>
          <t>Immediate into organizer's Stripe/PayPal/Square; no payout by TT.</t>
        </is>
      </c>
      <c r="P5" s="2" t="inlineStr">
        <is>
          <t>No refund of TT fee/credit on refund or cancel; processor fees usually not returned either. No TT chargeback fee found on pages read.</t>
        </is>
      </c>
      <c r="Q5" s="2" t="inlineStr">
        <is>
          <t>TT fees shown excl. VAT; VAT/sales tax added where applicable</t>
        </is>
      </c>
      <c r="R5" s="2" t="inlineStr">
        <is>
          <t>• Charged per 'usage', not on ticket price: paid ticket = 1 usage; seated paid ticket = 2; free ticket = 0; free seated ticket = 1; product sale = 1; ticket issued via API (even free) = 1; imported ticket (even free) = 1; every ticket in a paid bundle = 1; a voucher-covered order is still charged.
• First 5 ticket sales are free; the standard rate starts from the sixth paid ticket (pricing page FAQ).
• Free tickets free within fair usage: the pricing page says 5,000 free tickets/year but its FAQ also mentions 'more than 2,000' in another answer; above fair usage TT gives a per-free-ticket quote via support.
• Fees are not refunded when a ticket is refunded or cancelled (credits/PAYG fee kept); order transfer is free.
• Discounts (apply via billing page, at TT's discretion): 50% for registered charities (forever), 20% for B Corps/PTAs/CICs/non-profits/BBN, half-usage for tickets under 5 incl. booking fees (a seated 5 ticket = 1.5 usage), 50% for Music Venue Trust members, 50% for Round Tables, 6 months free for Art Tickets users. Only one discount at a time; none applies to white-label/custom-domain prices or processor fees.
• Refund protection: buyers can add it for 8% of ticket price; organizer keeps 10% of that fee, rest goes to TT (collected via PAYG).
• SMS/WhatsApp reminders: TT charges 0.10 per event per order (GBP/USD) for buyers who opt in; organizer keeps any excess of the suggested fee.
• TT does not touch the payment: Stripe, PayPal, Square or offline needed; TT fees are on top of processor fees; credits do not cover processing.
• VAT and sales tax charged on TT fees where applicable; TT prices are shown excl. VAT.
• No subscription, no contract; credits never expire; credits can be transferred between the organizer's box offices.
• Pass-on of fees is manual: organizer adds a booking fee (per ticket) and/or transaction fee (per order, % and/or fixed); no automatic 'pass all fees' toggle. TT warns US sellers about the FTC junk-fees rule.</t>
        </is>
      </c>
      <c r="S5" s="2" t="inlineStr">
        <is>
          <t>• {"name": "White label (logo removal + custom domain)", "price": "A$69/month; custom domain alone A$12/month"}
• {"name": "HubSpot/ActiveCampaign/Constant Contact integrations", "price": "monthly fee shown in account (amount not public)"}
• {"name": "Free check-in app", "price": "free"}</t>
        </is>
      </c>
      <c r="T5" s="2" t="inlineStr">
        <is>
          <t>Very large free events / above fair usage: ask support for a quote; 'Book a demo' for larger organizers (no public enterprise price)</t>
        </is>
      </c>
      <c r="U5" s="2" t="inlineStr">
        <is>
          <t>self-serve, small/mid organizers (shows, workshops, venues, charities); flat fee per ticket, bring-your-own processor</t>
        </is>
      </c>
      <c r="V5" s="2" t="inlineStr">
        <is>
          <t>page</t>
        </is>
      </c>
      <c r="W5" s="2" t="inlineStr">
        <is>
          <t>https://www.tickettailor.com/pricing (pricing page + FAQ)
https://help.tickettailor.com/en/articles/6731528-how-much-does-ticket-tailor-cost-and-how-will-i-be-charged (help centre: how much does TT cost)
https://help.tickettailor.com/en/articles/4096561-what-are-the-fees-for-using-seating-charts (help centre: seating chart fees)
https://help.tickettailor.com/en/articles/4725866-how-do-pre-pay-ticket-credits-work (help centre: pre-pay credits)
https://help.tickettailor.com/en/articles/8687492-what-discounts-do-we-offer (help centre: discounts)
https://help.tickettailor.com/en/articles/5210356-how-to-pass-fees-onto-your-ticket-buyers (help centre: passing fees on)</t>
        </is>
      </c>
    </row>
    <row r="6">
      <c r="A6" s="2" t="inlineStr">
        <is>
          <t>Глобальные self-serve</t>
        </is>
      </c>
      <c r="B6" s="21" t="inlineStr">
        <is>
          <t>Ticket Tailor</t>
        </is>
      </c>
      <c r="C6" s="2" t="inlineStr">
        <is>
          <t>https://www.tickettailor.com</t>
        </is>
      </c>
      <c r="D6" s="2" t="inlineStr">
        <is>
          <t>Canada</t>
        </is>
      </c>
      <c r="E6" s="2" t="inlineStr">
        <is>
          <t>CAD</t>
        </is>
      </c>
      <c r="F6" s="2" t="inlineStr">
        <is>
          <t>direct merchant</t>
        </is>
      </c>
      <c r="G6" s="2" t="inlineStr">
        <is>
          <t>Direct merchant: buyer pays straight into the organizer's own Stripe/PayPal/Square account (revenue appears almost immediately, bank transfer takes about a week); TT never holds the money. TT fee collection: Pre-pay = card charged immediately when credits are bought (optional auto top-up monthly or when &lt;=25 credits left). PAYG on Stripe = fee deducted automatically at the point of sale; PAYG on PayPal/Square/offline = TT charges the organizer's card on file monthly, or every 50 usage units, or 2 days after the last event ends.</t>
        </is>
      </c>
      <c r="H6" s="2" t="inlineStr">
        <is>
          <t>flat_per_ticket</t>
        </is>
      </c>
      <c r="I6" s="2" t="inlineStr">
        <is>
          <t>• Free (free tickets): +0.0 — Up to 5,000 free tickets/year, no fee — First 5 paid sales also free
• Pay as you go (PAYG): +1.0 — All features, flat fee per usage, no subscription — Stripe: deducted at sale; PayPal/Square: billed to card
• Pre-pay credits:  — Same features; lower unit price when credits are bought in advance — See prepaid bundles; credits never expire; running out falls back to PAYG automatically; minimum bundle 100 credits</t>
        </is>
      </c>
      <c r="J6" s="2" t="inlineStr">
        <is>
          <t>• credit bundles: None (срок: none; возврат: None)</t>
        </is>
      </c>
      <c r="K6" s="2" t="inlineStr">
        <is>
          <t>включён: False; свой процессинг: True; Stripe, PayPal, Square; Stripe CA 2.9% + C$0.30 (example)</t>
        </is>
      </c>
      <c r="L6" s="2" t="inlineStr">
        <is>
          <t>configurable (organizer adds own booking/transaction fee; default is organizer absorbs)</t>
        </is>
      </c>
      <c r="M6" s="2" t="inlineStr">
        <is>
          <t>Free tickets are free up to 5,000/year; first 5 paid tickets free.</t>
        </is>
      </c>
      <c r="N6" s="2" t="inlineStr">
        <is>
          <t>Seat reservation: PAYG +C$1.00 per seated ticket; pre-pay: +1 credit.</t>
        </is>
      </c>
      <c r="O6" s="2" t="inlineStr">
        <is>
          <t>Immediate into organizer's Stripe/PayPal/Square; no payout by TT.</t>
        </is>
      </c>
      <c r="P6" s="2" t="inlineStr">
        <is>
          <t>No refund of TT fee/credit on refund or cancel; processor fees usually not returned either. No TT chargeback fee found on pages read.</t>
        </is>
      </c>
      <c r="Q6" s="2" t="inlineStr">
        <is>
          <t>TT fees shown excl. VAT; VAT/sales tax added where applicable</t>
        </is>
      </c>
      <c r="R6" s="2" t="inlineStr">
        <is>
          <t>• Charged per 'usage', not on ticket price: paid ticket = 1 usage; seated paid ticket = 2; free ticket = 0; free seated ticket = 1; product sale = 1; ticket issued via API (even free) = 1; imported ticket (even free) = 1; every ticket in a paid bundle = 1; a voucher-covered order is still charged.
• First 5 ticket sales are free; the standard rate starts from the sixth paid ticket (pricing page FAQ).
• Free tickets free within fair usage: the pricing page says 5,000 free tickets/year but its FAQ also mentions 'more than 2,000' in another answer; above fair usage TT gives a per-free-ticket quote via support.
• Fees are not refunded when a ticket is refunded or cancelled (credits/PAYG fee kept); order transfer is free.
• Discounts (apply via billing page, at TT's discretion): 50% for registered charities (forever), 20% for B Corps/PTAs/CICs/non-profits/BBN, half-usage for tickets under 5 incl. booking fees (a seated 5 ticket = 1.5 usage), 50% for Music Venue Trust members, 50% for Round Tables, 6 months free for Art Tickets users. Only one discount at a time; none applies to white-label/custom-domain prices or processor fees.
• Refund protection: buyers can add it for 8% of ticket price; organizer keeps 10% of that fee, rest goes to TT (collected via PAYG).
• SMS/WhatsApp reminders: TT charges 0.10 per event per order (GBP/USD) for buyers who opt in; organizer keeps any excess of the suggested fee.
• TT does not touch the payment: Stripe, PayPal, Square or offline needed; TT fees are on top of processor fees; credits do not cover processing.
• VAT and sales tax charged on TT fees where applicable; TT prices are shown excl. VAT.
• No subscription, no contract; credits never expire; credits can be transferred between the organizer's box offices.
• Pass-on of fees is manual: organizer adds a booking fee (per ticket) and/or transaction fee (per order, % and/or fixed); no automatic 'pass all fees' toggle. TT warns US sellers about the FTC junk-fees rule.</t>
        </is>
      </c>
      <c r="S6" s="2" t="inlineStr">
        <is>
          <t>• {"name": "White label (logo removal + custom domain)", "price": "C$69/month; custom domain alone C$10/month"}
• {"name": "HubSpot/ActiveCampaign/Constant Contact integrations", "price": "monthly fee shown in account (amount not public)"}
• {"name": "Free check-in app", "price": "free"}</t>
        </is>
      </c>
      <c r="T6" s="2" t="inlineStr">
        <is>
          <t>Very large free events / above fair usage: ask support for a quote; 'Book a demo' for larger organizers (no public enterprise price)</t>
        </is>
      </c>
      <c r="U6" s="2" t="inlineStr">
        <is>
          <t>self-serve, small/mid organizers (shows, workshops, venues, charities); flat fee per ticket, bring-your-own processor</t>
        </is>
      </c>
      <c r="V6" s="2" t="inlineStr">
        <is>
          <t>page</t>
        </is>
      </c>
      <c r="W6" s="2" t="inlineStr">
        <is>
          <t>https://www.tickettailor.com/pricing (pricing page + FAQ)
https://help.tickettailor.com/en/articles/6731528-how-much-does-ticket-tailor-cost-and-how-will-i-be-charged (help centre: how much does TT cost)
https://help.tickettailor.com/en/articles/4096561-what-are-the-fees-for-using-seating-charts (help centre: seating chart fees)
https://help.tickettailor.com/en/articles/4725866-how-do-pre-pay-ticket-credits-work (help centre: pre-pay credits)
https://help.tickettailor.com/en/articles/8687492-what-discounts-do-we-offer (help centre: discounts)
https://help.tickettailor.com/en/articles/5210356-how-to-pass-fees-onto-your-ticket-buyers (help centre: passing fees on)</t>
        </is>
      </c>
    </row>
    <row r="7">
      <c r="A7" s="2" t="inlineStr">
        <is>
          <t>Глобальные self-serve</t>
        </is>
      </c>
      <c r="B7" s="21" t="inlineStr">
        <is>
          <t>Tito (ti.to)</t>
        </is>
      </c>
      <c r="C7" s="2" t="inlineStr">
        <is>
          <t>https://ti.to</t>
        </is>
      </c>
      <c r="D7" s="2" t="inlineStr">
        <is>
          <t>Global (EUR shown on pricing page)</t>
        </is>
      </c>
      <c r="E7" s="2" t="inlineStr">
        <is>
          <t>EUR (139 currencies supported)</t>
        </is>
      </c>
      <c r="F7" s="2" t="inlineStr">
        <is>
          <t>direct merchant</t>
        </is>
      </c>
      <c r="G7" s="2" t="inlineStr">
        <is>
          <t>Organizer connects Stripe or PayPal; buyer money goes straight to the organizer's account ('Tito can never hold or delay your money'). Tito's fee is deducted automatically at transaction time through the Stripe/PayPal integration; a card on file is needed only when 'pay by invoice' is used (fees on those then charged monthly).</t>
        </is>
      </c>
      <c r="H7" s="2" t="inlineStr">
        <is>
          <t>percent</t>
        </is>
      </c>
      <c r="I7" s="2" t="inlineStr">
        <is>
          <t>• Standard: 3.0% потолок 25.0 — All features, no setup, no subscription — Cap EUR 25 per ticket on paid plans (tickets above EUR 833.33 pay flat EUR 25)
• Charity / community / non-profit (apply): 2.5% потолок 25.0 — Same features — no commercial affiliation
• Free events: 0.0% — Free events are free</t>
        </is>
      </c>
      <c r="J7" s="2" t="inlineStr"/>
      <c r="K7" s="2" t="inlineStr">
        <is>
          <t>включён: False; свой процессинг: True; Stripe, PayPal; Stripe example on page: European cards 1.4% + EUR 0.25, non-European cards 2.9% + EUR 0.25; UK 1.4% + 20p / 2.9% + 20p; US 2.9% + 30c; Canada 2.9% + C$0.30</t>
        </is>
      </c>
      <c r="L7" s="2" t="inlineStr">
        <is>
          <t>organizer (Tito deliberately does NOT allow passing booking fees to buyers; price shown is price paid)</t>
        </is>
      </c>
      <c r="M7" s="2" t="inlineStr">
        <is>
          <t>Free events free.</t>
        </is>
      </c>
      <c r="N7" s="2" t="inlineStr">
        <is>
          <t>not mentioned on pricing page (null)</t>
        </is>
      </c>
      <c r="O7" s="2" t="inlineStr">
        <is>
          <t>Direct from Stripe/PayPal rolling payouts (Stripe 2-7 days).</t>
        </is>
      </c>
      <c r="P7" s="2" t="inlineStr">
        <is>
          <t>Tito and gateway fees are charged at the transaction and NOT reversed on refund; no extra fee to process a refund.</t>
        </is>
      </c>
      <c r="Q7" s="2" t="inlineStr">
        <is>
          <t>Fee computed on ticket price excl. tax; Tito charges VAT on its own fee: EU VAT-registered = reverse charge, EU non-registered pay local VAT (MOSS), non-EU none</t>
        </is>
      </c>
      <c r="R7" s="2" t="inlineStr">
        <is>
          <t>• Tito Pro (pro.tito.io) is a separate next-gen product for professional invitation-only events; its pricing was not on the page read.
• Cannot add booking fees on top - must fold fees into the ticket price.
• No setup fee, no monthly subscription, no extra fee for premium features.
• Usable in any country where Stripe or PayPal is available.</t>
        </is>
      </c>
      <c r="S7" s="2" t="inlineStr"/>
      <c r="T7" s="2" t="inlineStr"/>
      <c r="U7" s="2" t="inlineStr">
        <is>
          <t>conferences, workshops, tech/community events; Tito Pro is separate for invitation-only pro events; simple 3% model</t>
        </is>
      </c>
      <c r="V7" s="2" t="inlineStr">
        <is>
          <t>page</t>
        </is>
      </c>
      <c r="W7" s="2" t="inlineStr">
        <is>
          <t>https://ti.to/pricing (pricing page)
https://help.tito.io/en/articles/3673403-does-vat-apply-to-tito-fees (help: VAT on fees)
https://help.tito.io/en/articles/3766799-does-tito-refund-fees-on-cancelled-tickets (help: refunds)
https://help.tito.io/en/articles/2038071-do-i-need-to-add-a-credit-card-to-make-my-event-live (help: how fees are charged)
https://help.tito.io/en/articles/2006154-can-i-pass-booking-fees-along-to-attendees (help: pass booking fees)</t>
        </is>
      </c>
    </row>
    <row r="8">
      <c r="A8" s="2" t="inlineStr">
        <is>
          <t>Глобальные self-serve</t>
        </is>
      </c>
      <c r="B8" s="21" t="inlineStr">
        <is>
          <t>Humanitix</t>
        </is>
      </c>
      <c r="C8" s="2" t="inlineStr">
        <is>
          <t>https://humanitix.com</t>
        </is>
      </c>
      <c r="D8" s="2" t="inlineStr">
        <is>
          <t>Australia</t>
        </is>
      </c>
      <c r="E8" s="2" t="inlineStr">
        <is>
          <t>AUD</t>
        </is>
      </c>
      <c r="F8" s="2" t="inlineStr">
        <is>
          <t>оба варианта</t>
        </is>
      </c>
      <c r="G8" s="2" t="inlineStr">
        <is>
          <t>Default: Humanitix gateway collects (payout ~5 business days after event); optional own Stripe account (same booking fee plus Stripe's charges).</t>
        </is>
      </c>
      <c r="H8" s="2" t="inlineStr">
        <is>
          <t>percent_plus_fixed</t>
        </is>
      </c>
      <c r="I8" s="2" t="inlineStr">
        <is>
          <t>• Standard: 4.0% +0.99 — All features, unlimited ticket types, reserved seating, scheduled payouts, scanning app — plus 10% GST
• NFP / charity / school: 2.5% +0.5 — Same features — GST exempt
• Free events: 0.0% +0.0</t>
        </is>
      </c>
      <c r="J8" s="2" t="inlineStr"/>
      <c r="K8" s="2" t="inlineStr">
        <is>
          <t>включён: True; свой процессинг: True; Humanitix gateway (cards, Apple/Google Pay, PayPal in some currencies), Stripe (alternative); Fee includes processing on the default gateway; with own Stripe the processor fee is added on top</t>
        </is>
      </c>
      <c r="L8" s="2" t="inlineStr">
        <is>
          <t>buyer by default (booking fee added on top); organizer can absorb or split</t>
        </is>
      </c>
      <c r="M8" s="2" t="inlineStr">
        <is>
          <t>No fees for free tickets/events.</t>
        </is>
      </c>
      <c r="N8" s="2" t="inlineStr">
        <is>
          <t>Reserved seating included in all plans (listed feature); no separate seating surcharge published.</t>
        </is>
      </c>
      <c r="O8" s="2" t="inlineStr">
        <is>
          <t>Default gateway: within about 5 business days after the event; earlier by request; Stripe: Stripe schedule.</t>
        </is>
      </c>
      <c r="P8" s="2" t="inlineStr">
        <is>
          <t>Refunds can be processed through the platform while the event has not been paid out; fee refund policy not captured; Stripe fees non-refundable.</t>
        </is>
      </c>
      <c r="Q8" s="2" t="inlineStr">
        <is>
          <t>fee quoted excl. GST; 10% GST added (NFP rate GST-exempt)</t>
        </is>
      </c>
      <c r="R8" s="2" t="inlineStr">
        <is>
          <t>• Not-for-profit; all profits go to charity; fees are called 'booking fees'.
• No subscription, sign-up or admin fees; all features on all plans; no fees for free tickets, imported tickets or manual orders.
• Registered NFP/charity/school/university rate is discounted (see plans).
• Booking fees cannot be invoiced separately: they are deducted at purchase before payout.
• Box-office (in-person) rate: 3% + 1 (local currency) per paid ticket; no fee for cash sales.
• Organizer can absorb the fee (buyer pays face value, fee debited before payout) or split it with buyers.
• On the default gateway AMEX and PayPal carry surcharges always paid by the buyer; PayPal not yet available for GBP.
• Afterpay/Zip BNPL available for some currencies; those sales are paid out post-event only and cannot go to a connected Stripe account.
• Custom pricing for big events or big-ticket items: contact sales.</t>
        </is>
      </c>
      <c r="S8" s="2" t="inlineStr"/>
      <c r="T8" s="2" t="inlineStr"/>
      <c r="U8" s="2" t="inlineStr">
        <is>
          <t>not-for-profit ticketing (profits to children's charities); events from community to festivals in AU/NZ/UK/US; fee paid by buyer by default</t>
        </is>
      </c>
      <c r="V8" s="2" t="inlineStr">
        <is>
          <t>page</t>
        </is>
      </c>
      <c r="W8" s="2" t="inlineStr">
        <is>
          <t>https://help.humanitix.com/en/articles/12292391-what-are-the-humanitix-booking-fees (help centre: booking fees (primary))
https://help.humanitix.com/en/articles/9760527-how-much-does-humanitix-cost (help centre: how much does Humanitix cost)
https://help.humanitix.com/en/articles/8889188-payment-processing-options-for-your-humanitix-event (help centre: payment processing options)
https://humanitix.com/pricing (US pricing page)
https://humanitix.com/au/pricing (AU pricing page)</t>
        </is>
      </c>
    </row>
    <row r="9">
      <c r="A9" s="2" t="inlineStr">
        <is>
          <t>Глобальные self-serve</t>
        </is>
      </c>
      <c r="B9" s="21" t="inlineStr">
        <is>
          <t>Humanitix</t>
        </is>
      </c>
      <c r="C9" s="2" t="inlineStr">
        <is>
          <t>https://humanitix.com</t>
        </is>
      </c>
      <c r="D9" s="2" t="inlineStr">
        <is>
          <t>New Zealand</t>
        </is>
      </c>
      <c r="E9" s="2" t="inlineStr">
        <is>
          <t>NZD</t>
        </is>
      </c>
      <c r="F9" s="2" t="inlineStr">
        <is>
          <t>оба варианта</t>
        </is>
      </c>
      <c r="G9" s="2" t="inlineStr">
        <is>
          <t>Default Humanitix gateway; optional own Stripe.</t>
        </is>
      </c>
      <c r="H9" s="2" t="inlineStr">
        <is>
          <t>percent_plus_fixed</t>
        </is>
      </c>
      <c r="I9" s="2" t="inlineStr">
        <is>
          <t>• Standard: 5.0% +0.49 — All features, unlimited ticket types, reserved seating, scheduled payouts, scanning app — plus 15% GST
• NFP / charity / school: 3.0% +0.3 — Same features — GST exempt
• Free events: 0.0% +0.0</t>
        </is>
      </c>
      <c r="J9" s="2" t="inlineStr"/>
      <c r="K9" s="2" t="inlineStr">
        <is>
          <t>включён: True; свой процессинг: True; Humanitix gateway (cards, Apple/Google Pay, PayPal in some currencies), Stripe (alternative); Fee includes processing on the default gateway; with own Stripe the processor fee is added on top</t>
        </is>
      </c>
      <c r="L9" s="2" t="inlineStr">
        <is>
          <t>buyer by default (booking fee added on top); organizer can absorb or split</t>
        </is>
      </c>
      <c r="M9" s="2" t="inlineStr">
        <is>
          <t>No fees for free tickets/events.</t>
        </is>
      </c>
      <c r="N9" s="2" t="inlineStr">
        <is>
          <t>Reserved seating included in all plans (listed feature); no separate seating surcharge published.</t>
        </is>
      </c>
      <c r="O9" s="2" t="inlineStr">
        <is>
          <t>Default gateway: within about 5 business days after the event; earlier by request; Stripe: Stripe schedule.</t>
        </is>
      </c>
      <c r="P9" s="2" t="inlineStr">
        <is>
          <t>Refunds can be processed through the platform while the event has not been paid out; fee refund policy not captured; Stripe fees non-refundable.</t>
        </is>
      </c>
      <c r="Q9" s="2" t="inlineStr">
        <is>
          <t>plus 15% GST on standard rate</t>
        </is>
      </c>
      <c r="R9" s="2" t="inlineStr">
        <is>
          <t>• Not-for-profit; all profits go to charity; fees are called 'booking fees'.
• No subscription, sign-up or admin fees; all features on all plans; no fees for free tickets, imported tickets or manual orders.
• Registered NFP/charity/school/university rate is discounted (see plans).
• Booking fees cannot be invoiced separately: they are deducted at purchase before payout.
• Box-office (in-person) rate: 3% + 1 (local currency) per paid ticket; no fee for cash sales.
• Organizer can absorb the fee (buyer pays face value, fee debited before payout) or split it with buyers.
• On the default gateway AMEX and PayPal carry surcharges always paid by the buyer; PayPal not yet available for GBP.
• Afterpay/Zip BNPL available for some currencies; those sales are paid out post-event only and cannot go to a connected Stripe account.
• Custom pricing for big events or big-ticket items: contact sales.</t>
        </is>
      </c>
      <c r="S9" s="2" t="inlineStr"/>
      <c r="T9" s="2" t="inlineStr"/>
      <c r="U9" s="2" t="inlineStr">
        <is>
          <t>not-for-profit ticketing (profits to children's charities); events from community to festivals in AU/NZ/UK/US; fee paid by buyer by default</t>
        </is>
      </c>
      <c r="V9" s="2" t="inlineStr">
        <is>
          <t>page</t>
        </is>
      </c>
      <c r="W9" s="2" t="inlineStr">
        <is>
          <t>https://help.humanitix.com/en/articles/12292391-what-are-the-humanitix-booking-fees (help centre: booking fees (primary))
https://help.humanitix.com/en/articles/9760527-how-much-does-humanitix-cost (help centre: how much does Humanitix cost)
https://help.humanitix.com/en/articles/8889188-payment-processing-options-for-your-humanitix-event (help centre: payment processing options)
https://humanitix.com/pricing (US pricing page)
https://humanitix.com/au/pricing (AU pricing page)</t>
        </is>
      </c>
    </row>
    <row r="10">
      <c r="A10" s="2" t="inlineStr">
        <is>
          <t>Глобальные self-serve</t>
        </is>
      </c>
      <c r="B10" s="21" t="inlineStr">
        <is>
          <t>Humanitix</t>
        </is>
      </c>
      <c r="C10" s="2" t="inlineStr">
        <is>
          <t>https://humanitix.com</t>
        </is>
      </c>
      <c r="D10" s="2" t="inlineStr">
        <is>
          <t>United States</t>
        </is>
      </c>
      <c r="E10" s="2" t="inlineStr">
        <is>
          <t>USD</t>
        </is>
      </c>
      <c r="F10" s="2" t="inlineStr">
        <is>
          <t>оба варианта</t>
        </is>
      </c>
      <c r="G10" s="2" t="inlineStr">
        <is>
          <t>Default Humanitix gateway for USD events. NOTE: the US pricing page (humanitix.com/pricing, read 2026-10-09) instead shows Standard 2.1% + $0.99 and Charities 1% + $0.99 with 'payment processing 2.9% + $0.30' - this matches the Stripe-connected rate (EUR/CAD tier). Reconciled: default gateway 5% + $1.29 all-in vs Stripe-connected 2.1% + $0.99 + Stripe 2.9% + $0.30.</t>
        </is>
      </c>
      <c r="H10" s="2" t="inlineStr">
        <is>
          <t>percent_plus_fixed</t>
        </is>
      </c>
      <c r="I10" s="2" t="inlineStr">
        <is>
          <t>• Standard: 5.0% +1.29 — All features, unlimited ticket types, reserved seating, scheduled payouts, scanning app — help centre; excl. tax; default-gateway rate with processing included
• NFP / charity / school: 3.9% +1.29 — Same features — tax exempt
• Free events: 0.0% +0.0</t>
        </is>
      </c>
      <c r="J10" s="2" t="inlineStr"/>
      <c r="K10" s="2" t="inlineStr">
        <is>
          <t>включён: True; свой процессинг: True; Humanitix gateway (cards, Apple/Google Pay, PayPal in some currencies), Stripe (alternative); Fee includes processing on the default gateway; with own Stripe the processor fee is added on top</t>
        </is>
      </c>
      <c r="L10" s="2" t="inlineStr">
        <is>
          <t>buyer by default (booking fee added on top); organizer can absorb or split</t>
        </is>
      </c>
      <c r="M10" s="2" t="inlineStr">
        <is>
          <t>No fees for free tickets/events.</t>
        </is>
      </c>
      <c r="N10" s="2" t="inlineStr">
        <is>
          <t>Reserved seating included in all plans (listed feature); no separate seating surcharge published.</t>
        </is>
      </c>
      <c r="O10" s="2" t="inlineStr">
        <is>
          <t>Default gateway: within about 5 business days after the event; earlier by request; Stripe: Stripe schedule.</t>
        </is>
      </c>
      <c r="P10" s="2" t="inlineStr">
        <is>
          <t>Refunds can be processed through the platform while the event has not been paid out; fee refund policy not captured; Stripe fees non-refundable.</t>
        </is>
      </c>
      <c r="Q10" s="2" t="inlineStr">
        <is>
          <t>fee quoted excl. taxes (sales tax applied where applicable)</t>
        </is>
      </c>
      <c r="R10" s="2" t="inlineStr">
        <is>
          <t>• Not-for-profit; all profits go to charity; fees are called 'booking fees'.
• No subscription, sign-up or admin fees; all features on all plans; no fees for free tickets, imported tickets or manual orders.
• Registered NFP/charity/school/university rate is discounted (see plans).
• Booking fees cannot be invoiced separately: they are deducted at purchase before payout.
• Box-office (in-person) rate: 3% + 1 (local currency) per paid ticket; no fee for cash sales.
• Organizer can absorb the fee (buyer pays face value, fee debited before payout) or split it with buyers.
• On the default gateway AMEX and PayPal carry surcharges always paid by the buyer; PayPal not yet available for GBP.
• Afterpay/Zip BNPL available for some currencies; those sales are paid out post-event only and cannot go to a connected Stripe account.
• Custom pricing for big events or big-ticket items: contact sales.
• US page 2.1% + $0.99 (+ Stripe 2.9% + $0.30) vs help centre 5% + $1.29 all-in; both recorded.</t>
        </is>
      </c>
      <c r="S10" s="2" t="inlineStr"/>
      <c r="T10" s="2" t="inlineStr"/>
      <c r="U10" s="2" t="inlineStr">
        <is>
          <t>not-for-profit ticketing (profits to children's charities); events from community to festivals in AU/NZ/UK/US; fee paid by buyer by default</t>
        </is>
      </c>
      <c r="V10" s="2" t="inlineStr">
        <is>
          <t>page</t>
        </is>
      </c>
      <c r="W10" s="2" t="inlineStr">
        <is>
          <t>https://help.humanitix.com/en/articles/12292391-what-are-the-humanitix-booking-fees (help centre: booking fees (primary))
https://help.humanitix.com/en/articles/9760527-how-much-does-humanitix-cost (help centre: how much does Humanitix cost)
https://help.humanitix.com/en/articles/8889188-payment-processing-options-for-your-humanitix-event (help centre: payment processing options)
https://humanitix.com/pricing (US pricing page)
https://humanitix.com/au/pricing (AU pricing page)</t>
        </is>
      </c>
    </row>
    <row r="11">
      <c r="A11" s="2" t="inlineStr">
        <is>
          <t>Глобальные self-serve</t>
        </is>
      </c>
      <c r="B11" s="21" t="inlineStr">
        <is>
          <t>Humanitix</t>
        </is>
      </c>
      <c r="C11" s="2" t="inlineStr">
        <is>
          <t>https://humanitix.com</t>
        </is>
      </c>
      <c r="D11" s="2" t="inlineStr">
        <is>
          <t>United Kingdom</t>
        </is>
      </c>
      <c r="E11" s="2" t="inlineStr">
        <is>
          <t>GBP</t>
        </is>
      </c>
      <c r="F11" s="2" t="inlineStr">
        <is>
          <t>оба варианта</t>
        </is>
      </c>
      <c r="G11" s="2" t="inlineStr">
        <is>
          <t>Default Humanitix gateway for GBP events (PayPal not yet available for GBP); payout after event (third-party ticketingfees.co.uk: after the event by default, earlier on request).</t>
        </is>
      </c>
      <c r="H11" s="2" t="inlineStr">
        <is>
          <t>percent_plus_fixed</t>
        </is>
      </c>
      <c r="I11" s="2" t="inlineStr">
        <is>
          <t>• Standard: 5.6% +0.55 — All features, unlimited ticket types, reserved seating, scheduled payouts, scanning app — incl. VAT
• NFP / charity / school: 4.0% +0.3 — Same features — incl. VAT
• Free events: 0.0% +0.0</t>
        </is>
      </c>
      <c r="J11" s="2" t="inlineStr"/>
      <c r="K11" s="2" t="inlineStr">
        <is>
          <t>включён: True; свой процессинг: True; Humanitix gateway (cards, Apple/Google Pay, PayPal in some currencies), Stripe (alternative); Fee includes processing on the default gateway; with own Stripe the processor fee is added on top</t>
        </is>
      </c>
      <c r="L11" s="2" t="inlineStr">
        <is>
          <t>buyer by default (booking fee added on top); organizer can absorb or split</t>
        </is>
      </c>
      <c r="M11" s="2" t="inlineStr">
        <is>
          <t>No fees for free tickets/events.</t>
        </is>
      </c>
      <c r="N11" s="2" t="inlineStr">
        <is>
          <t>Reserved seating included in all plans (listed feature); no separate seating surcharge published.</t>
        </is>
      </c>
      <c r="O11" s="2" t="inlineStr">
        <is>
          <t>Default gateway: within about 5 business days after the event; earlier by request; Stripe: Stripe schedule.</t>
        </is>
      </c>
      <c r="P11" s="2" t="inlineStr">
        <is>
          <t>Refunds can be processed through the platform while the event has not been paid out; fee refund policy not captured; Stripe fees non-refundable.</t>
        </is>
      </c>
      <c r="Q11" s="2" t="inlineStr">
        <is>
          <t>fee quoted INCLUDING VAT (third-party: 4.67% + 46p excl. VAT; charity 3.33% + 25p excl. VAT)</t>
        </is>
      </c>
      <c r="R11" s="2" t="inlineStr">
        <is>
          <t>• Not-for-profit; all profits go to charity; fees are called 'booking fees'.
• No subscription, sign-up or admin fees; all features on all plans; no fees for free tickets, imported tickets or manual orders.
• Registered NFP/charity/school/university rate is discounted (see plans).
• Booking fees cannot be invoiced separately: they are deducted at purchase before payout.
• Box-office (in-person) rate: 3% + 1 (local currency) per paid ticket; no fee for cash sales.
• Organizer can absorb the fee (buyer pays face value, fee debited before payout) or split it with buyers.
• On the default gateway AMEX and PayPal carry surcharges always paid by the buyer; PayPal not yet available for GBP.
• Afterpay/Zip BNPL available for some currencies; those sales are paid out post-event only and cannot go to a connected Stripe account.
• Custom pricing for big events or big-ticket items: contact sales.
• ticketingfees.co.uk (a competitor's site) quotes 4.67% + 46p excl. VAT, equal to 5.6% + 55p incl. VAT.</t>
        </is>
      </c>
      <c r="S11" s="2" t="inlineStr"/>
      <c r="T11" s="2" t="inlineStr"/>
      <c r="U11" s="2" t="inlineStr">
        <is>
          <t>not-for-profit ticketing (profits to children's charities); events from community to festivals in AU/NZ/UK/US; fee paid by buyer by default</t>
        </is>
      </c>
      <c r="V11" s="2" t="inlineStr">
        <is>
          <t>page</t>
        </is>
      </c>
      <c r="W11" s="2" t="inlineStr">
        <is>
          <t>https://help.humanitix.com/en/articles/12292391-what-are-the-humanitix-booking-fees (help centre: booking fees (primary))
https://help.humanitix.com/en/articles/9760527-how-much-does-humanitix-cost (help centre: how much does Humanitix cost)
https://help.humanitix.com/en/articles/8889188-payment-processing-options-for-your-humanitix-event (help centre: payment processing options)
https://humanitix.com/pricing (US pricing page)
https://humanitix.com/au/pricing (AU pricing page)</t>
        </is>
      </c>
    </row>
    <row r="12">
      <c r="A12" s="2" t="inlineStr">
        <is>
          <t>Глобальные self-serve</t>
        </is>
      </c>
      <c r="B12" s="21" t="inlineStr">
        <is>
          <t>Humanitix</t>
        </is>
      </c>
      <c r="C12" s="2" t="inlineStr">
        <is>
          <t>https://humanitix.com</t>
        </is>
      </c>
      <c r="D12" s="2" t="inlineStr">
        <is>
          <t>Eurozone (EUR) / Canada / Mexico / Fiji</t>
        </is>
      </c>
      <c r="E12" s="2" t="inlineStr">
        <is>
          <t>EUR (and CAD, MXN, FJD)</t>
        </is>
      </c>
      <c r="F12" s="2" t="inlineStr">
        <is>
          <t>direct merchant</t>
        </is>
      </c>
      <c r="G12" s="2" t="inlineStr">
        <is>
          <t>EUR, CAD, MXN and FJD events MUST connect their own Stripe account (Humanitix gateway not available): money goes straight to the organizer's Stripe; Humanitix fee deducted plus Stripe's own fees.</t>
        </is>
      </c>
      <c r="H12" s="2" t="inlineStr">
        <is>
          <t>percent_plus_fixed</t>
        </is>
      </c>
      <c r="I12" s="2" t="inlineStr">
        <is>
          <t>• Standard: 2.1% +0.99 — All features, unlimited ticket types, reserved seating, scheduled payouts, scanning app — + credit card fees charged by Stripe; same 2.1% + 0.99 for CAD/FJD/MXN
• NFP / charity / school: 1.0% +0.99 — Same features — + Stripe fees
• Free events: 0.0% +0.0</t>
        </is>
      </c>
      <c r="J12" s="2" t="inlineStr"/>
      <c r="K12" s="2" t="inlineStr">
        <is>
          <t>включён: False; свой процессинг: True; Stripe (mandatory); Stripe fees charged by Stripe on top of the booking fee</t>
        </is>
      </c>
      <c r="L12" s="2" t="inlineStr">
        <is>
          <t>buyer by default (booking fee added on top); organizer can absorb or split</t>
        </is>
      </c>
      <c r="M12" s="2" t="inlineStr">
        <is>
          <t>No fees for free tickets/events.</t>
        </is>
      </c>
      <c r="N12" s="2" t="inlineStr">
        <is>
          <t>Reserved seating included in all plans (listed feature); no separate seating surcharge published.</t>
        </is>
      </c>
      <c r="O12" s="2" t="inlineStr">
        <is>
          <t>Default gateway: within about 5 business days after the event; earlier by request; Stripe: Stripe schedule.</t>
        </is>
      </c>
      <c r="P12" s="2" t="inlineStr">
        <is>
          <t>Refunds can be processed through the platform while the event has not been paid out; fee refund policy not captured; Stripe fees non-refundable.</t>
        </is>
      </c>
      <c r="Q12" s="2" t="inlineStr">
        <is>
          <t>EUR: fee + Stripe's card fees; VAT treatment not stated</t>
        </is>
      </c>
      <c r="R12" s="2" t="inlineStr">
        <is>
          <t>• Not-for-profit; all profits go to charity; fees are called 'booking fees'.
• No subscription, sign-up or admin fees; all features on all plans; no fees for free tickets, imported tickets or manual orders.
• Registered NFP/charity/school/university rate is discounted (see plans).
• Booking fees cannot be invoiced separately: they are deducted at purchase before payout.
• Box-office (in-person) rate: 3% + 1 (local currency) per paid ticket; no fee for cash sales.
• Organizer can absorb the fee (buyer pays face value, fee debited before payout) or split it with buyers.
• On the default gateway AMEX and PayPal carry surcharges always paid by the buyer; PayPal not yet available for GBP.
• Afterpay/Zip BNPL available for some currencies; those sales are paid out post-event only and cannot go to a connected Stripe account.
• Custom pricing for big events or big-ticket items: contact sales.
• Box-office rate not available ('NA') for these currencies.</t>
        </is>
      </c>
      <c r="S12" s="2" t="inlineStr"/>
      <c r="T12" s="2" t="inlineStr"/>
      <c r="U12" s="2" t="inlineStr">
        <is>
          <t>not-for-profit ticketing (profits to children's charities); events from community to festivals in AU/NZ/UK/US; fee paid by buyer by default</t>
        </is>
      </c>
      <c r="V12" s="2" t="inlineStr">
        <is>
          <t>page</t>
        </is>
      </c>
      <c r="W12" s="2" t="inlineStr">
        <is>
          <t>https://help.humanitix.com/en/articles/12292391-what-are-the-humanitix-booking-fees (help centre: booking fees (primary))
https://help.humanitix.com/en/articles/9760527-how-much-does-humanitix-cost (help centre: how much does Humanitix cost)
https://help.humanitix.com/en/articles/8889188-payment-processing-options-for-your-humanitix-event (help centre: payment processing options)
https://humanitix.com/pricing (US pricing page)
https://humanitix.com/au/pricing (AU pricing page)</t>
        </is>
      </c>
    </row>
    <row r="13">
      <c r="A13" s="2" t="inlineStr">
        <is>
          <t>Глобальные self-serve</t>
        </is>
      </c>
      <c r="B13" s="21" t="inlineStr">
        <is>
          <t>Luma (lu.ma)</t>
        </is>
      </c>
      <c r="C13" s="2" t="inlineStr">
        <is>
          <t>https://luma.com</t>
        </is>
      </c>
      <c r="D13" s="2" t="inlineStr">
        <is>
          <t>Global (USD)</t>
        </is>
      </c>
      <c r="E13" s="2" t="inlineStr">
        <is>
          <t>USD</t>
        </is>
      </c>
      <c r="F13" s="2" t="inlineStr">
        <is>
          <t>direct merchant</t>
        </is>
      </c>
      <c r="G13" s="2" t="inlineStr">
        <is>
          <t>Organizer connects own Stripe account; cards settle into the organizer's Stripe as tickets sell. Luma's platform fee is taken as an application fee on each transaction (luma_application_fee in the Sales History CSV) together with Stripe's processing fee.</t>
        </is>
      </c>
      <c r="H13" s="2" t="inlineStr">
        <is>
          <t>percent</t>
        </is>
      </c>
      <c r="I13" s="2" t="inlineStr">
        <is>
          <t>• Free: 5.0% — Unlimited events and guests, 500 invites/newsletters per week, 3 calendar admins, regional payment methods (iDEAL, Konbini, PayNow), coupons, ticket types — 5% platform fee on paid events; no tax collection
• Luma Plus: 0.0% 69.0/мес 708.0/год — 0% platform fee, 5,000 sends/week, tax collection, API/Zapier, custom URLs, check-in manager, priority support, 5 admins — $59/month billed annually (save 14%, = $708/yr); $69/month month-to-month (Luma help comparison pages); per calendar, not per account; fees on earlier sales not refunded after upgrade
• Enterprise:  — Organization accounts, SSO, advanced integrations, custom features — Contact sales; price not public</t>
        </is>
      </c>
      <c r="J13" s="2" t="inlineStr"/>
      <c r="K13" s="2" t="inlineStr">
        <is>
          <t>включён: False; свой процессинг: False; Stripe; Stripe typically 2.9% + 30c on top of the platform fee; доп. сбор: none; Stripe is the only processor</t>
        </is>
      </c>
      <c r="L13" s="2" t="inlineStr">
        <is>
          <t>organizer (third-party Hi.Events says the fee cannot be passed on; Luma pages show no pass-through toggle)</t>
        </is>
      </c>
      <c r="M13" s="2" t="inlineStr">
        <is>
          <t>Free events free; unlimited guests on free plan.</t>
        </is>
      </c>
      <c r="N13" s="2" t="inlineStr">
        <is>
          <t>No seating charts; tables modelled as limited-quantity high-price ticket tiers (Luma's own comparison page)</t>
        </is>
      </c>
      <c r="O13" s="2" t="inlineStr">
        <is>
          <t>Rolling payouts per organizer's Stripe schedule (typically next business day / 2 days in the US); Stripe Instant Payouts possible.</t>
        </is>
      </c>
      <c r="P13" s="2" t="inlineStr">
        <is>
          <t>Refunds via Stripe/Luma sales history; Luma platform-fee refund policy not captured; Stripe fees not returned.</t>
        </is>
      </c>
      <c r="Q13" s="2" t="inlineStr">
        <is>
          <t>prices in US dollars; Luma Plus can collect sales tax for ticket sales (free plan cannot); Luma fee invoices available for VAT bookkeeping</t>
        </is>
      </c>
      <c r="R13" s="2" t="inlineStr">
        <is>
          <t>• Extra calendar admin seat: $12/month ($9/month billed annually).
• Weekly send add-ons for Plus: 10,000 $50/mo; 25,000 $200/mo; 50,000 $400/mo; 75,000 $600/mo; 100,000 $800/mo (billed annually, save up to 11%).
• Plus is bought per calendar and cannot be moved to another calendar.
• Calendar must be verified to unlock higher send limits even on Plus.
• On a $20 ticket: Free plan fees $1.88 total; Plus $0.88 (Luma's own comparison page).</t>
        </is>
      </c>
      <c r="S13" s="2" t="inlineStr">
        <is>
          <t>• {"name": "Extra admin seat", "price": "$12/mo or $9/mo annual"}
• {"name": "Weekly send tiers", "price": "$50-$800/mo"}</t>
        </is>
      </c>
      <c r="T13" s="2" t="inlineStr">
        <is>
          <t>Enterprise plan: contact sales (no public price)</t>
        </is>
      </c>
      <c r="U13" s="2" t="inlineStr">
        <is>
          <t>community/professional events, meetups, workshops, dinners; free-first with calendars/newsletters; strong with tech/creator communities</t>
        </is>
      </c>
      <c r="V13" s="2" t="inlineStr">
        <is>
          <t>page</t>
        </is>
      </c>
      <c r="W13" s="2" t="inlineStr">
        <is>
          <t>https://luma.com/pricing (pricing page)
https://help.luma.com/p/luma-plus (help centre: Luma Plus overview)
https://help.luma.com/p/understanding-payouts-and-event-proceeds (help centre: payouts and fees)
https://help.luma.com/p/luma-vs-posh (Luma comparison page (vendor), includes Posh fee)</t>
        </is>
      </c>
    </row>
    <row r="14">
      <c r="A14" s="2" t="inlineStr">
        <is>
          <t>Глобальные self-serve</t>
        </is>
      </c>
      <c r="B14" s="21" t="inlineStr">
        <is>
          <t>TicketSpice (Webconnex)</t>
        </is>
      </c>
      <c r="C14" s="2" t="inlineStr">
        <is>
          <t>https://www.ticketspice.com</t>
        </is>
      </c>
      <c r="D14" s="2" t="inlineStr">
        <is>
          <t>US</t>
        </is>
      </c>
      <c r="E14" s="2" t="inlineStr">
        <is>
          <t>USD</t>
        </is>
      </c>
      <c r="F14" s="2" t="inlineStr">
        <is>
          <t>оба варианта</t>
        </is>
      </c>
      <c r="G14" s="2" t="inlineStr">
        <is>
          <t>Default: in-house Webconnex Payments processor (platform collects, pays out WEEKLY by direct deposit, fees deducted before payout). Alternative: use own gateway (Stripe, Authorize.net, NMI, Paya, Cybersource, Payflow Pro, SecureNet) for an extra 1% + 25c per transaction charged by TicketSpice in USD - then money goes to the organizer's own gateway.</t>
        </is>
      </c>
      <c r="H14" s="2" t="inlineStr">
        <is>
          <t>flat_per_ticket</t>
        </is>
      </c>
      <c r="I14" s="2" t="inlineStr">
        <is>
          <t>• Standard: +0.99 — No platform/setup/support fees; page builder, reserved seating, box office app, scanning, API, weekly payouts — Plus card processing 2.9% + 30c (can be passed on); tickets of $5 or less: $0.49
• Box office app sales: +0.49 — On-site sales via the box office app — $0.49 per paid ticket on site
• Free events: +0.0 — Free if the organizer also runs paid events; otherwise 99c/ticket</t>
        </is>
      </c>
      <c r="J14" s="2" t="inlineStr"/>
      <c r="K14" s="2" t="inlineStr">
        <is>
          <t>включён: False; свой процессинг: True; Webconnex Payments (default), Stripe, Authorize.net, NMI, Paya, Cybersource; 2.9% + 30c standard processing; third-party gateways +1% + 25c per transaction</t>
        </is>
      </c>
      <c r="L14" s="2" t="inlineStr">
        <is>
          <t>configurable (organizer may absorb or pass on fees, and add own convenience fee and keep 100% of it)</t>
        </is>
      </c>
      <c r="M14" s="2" t="inlineStr">
        <is>
          <t>Free events free for organizers who also run paid events; else 99c/ticket.</t>
        </is>
      </c>
      <c r="N14" s="2" t="inlineStr">
        <is>
          <t>Reserved seating (charts, layouts, pods) included in the 99c; no surcharge stated.</t>
        </is>
      </c>
      <c r="O14" s="2" t="inlineStr">
        <is>
          <t>Weekly payouts by direct deposit (not after the event).</t>
        </is>
      </c>
      <c r="P14" s="2" t="inlineStr">
        <is>
          <t>Not captured on pricing page (fraud monitoring and purchase-protection options mentioned).</t>
        </is>
      </c>
      <c r="Q14" s="2" t="inlineStr">
        <is>
          <t>prices excl. tax</t>
        </is>
      </c>
      <c r="R14" s="2" t="inlineStr">
        <is>
          <t>• Optional upgrades: email marketing automation $9/mo + 2c per recipient; text message platform $19/mo + 2c per recipient (carrier activation fee applies); 3rd-party data enrichment $9/mo + 10c per record; cashless on-site payments 25c per transaction; white-label domain $150/year.
• Using a non-default payment gateway costs 1% + 25c per transaction on top of 99c.
• 'Your rates may be even lower' - volume pricing negotiable.</t>
        </is>
      </c>
      <c r="S14" s="2" t="inlineStr">
        <is>
          <t>• {"name": "Email marketing automation", "price": "$9/month + 2c/recipient"}
• {"name": "Text message platform", "price": "$19/month + 2c/recipient"}
• {"name": "White-label domain", "price": "$150/year"}
• {"name": "Cashless on-site payments", "price": "25c/transaction"}</t>
        </is>
      </c>
      <c r="T14" s="2" t="inlineStr">
        <is>
          <t>'Contact sales' for volume; no public price</t>
        </is>
      </c>
      <c r="U14" s="2" t="inlineStr">
        <is>
          <t>US events and attractions (festivals, haunts, theaters, waterparks); flat per-ticket fee plus in-house payments; box office and weekly payouts</t>
        </is>
      </c>
      <c r="V14" s="2" t="inlineStr">
        <is>
          <t>page</t>
        </is>
      </c>
      <c r="W14" s="2" t="inlineStr">
        <is>
          <t>https://www.ticketspice.com/pricing (pricing page + FAQ)</t>
        </is>
      </c>
    </row>
    <row r="15">
      <c r="A15" s="2" t="inlineStr">
        <is>
          <t>Глобальные self-serve</t>
        </is>
      </c>
      <c r="B15" s="21" t="inlineStr">
        <is>
          <t>Universe (Live Nation)</t>
        </is>
      </c>
      <c r="C15" s="2" t="inlineStr">
        <is>
          <t>https://www.universe.com</t>
        </is>
      </c>
      <c r="D15" s="2" t="inlineStr">
        <is>
          <t>US</t>
        </is>
      </c>
      <c r="E15" s="2" t="inlineStr">
        <is>
          <t>USD</t>
        </is>
      </c>
      <c r="F15" s="2" t="inlineStr">
        <is>
          <t>оба варианта</t>
        </is>
      </c>
      <c r="G15" s="2" t="inlineStr">
        <is>
          <t>Default: Universe Payments collects and pays AFTER the event (48 hours after it ends, third-party); processing included but Universe Payments adds 3% in the US (third-party). Alternative: connect own Stripe (Stripe Connect, 'advanced payouts'): money goes to the organizer's Stripe on its schedule, Stripe charges processing separately and the Universe service fee is collected on top.</t>
        </is>
      </c>
      <c r="H15" s="2" t="inlineStr">
        <is>
          <t>percent_plus_fixed</t>
        </is>
      </c>
      <c r="I15" s="2" t="inlineStr">
        <is>
          <t>• Starter: 2.0% +0.59 — Unlimited ticket types/add-ons, checkout questions, box office app, API, Stripe Connect payouts, email support — US pricing page (read 2026-10-09) shows 2% + $0.59; a Google snippet of the same page and Hi.Events say 2% + $0.79 capped at $19.95 per ticket - the page seems to have changed.
• Standard: 2.0% +0.59 — Starter + team permissions, cardholder presales, payment plans, tiered ticketing, priority email support — Page shows the same 2% + $0.59; third-party says Standard is 2.5% + $1.99 US (5.5% + GBP 0.99 UK); Capterra snippet 'starts at $19.95 one time' unverified.
• Pro:  — Custom a-la-carte plan: Ticketmaster sales, dedicated account manager, dynamic pricing, RFID — Custom pricing</t>
        </is>
      </c>
      <c r="J15" s="2" t="inlineStr"/>
      <c r="K15" s="2" t="inlineStr">
        <is>
          <t>включён: True; свой процессинг: True; Universe Payments (default), Stripe Connect; Universe Payments: processing included by default (US adds 3%, UK/AU 2% per third-party); with own Stripe: Stripe's fee, not passed on as a Universe fee</t>
        </is>
      </c>
      <c r="L15" s="2" t="inlineStr">
        <is>
          <t>configurable (organizer can absorb or pass on service fee + processing; outside the USA the service+processing fee is shown as one all-in price)</t>
        </is>
      </c>
      <c r="M15" s="2" t="inlineStr">
        <is>
          <t>Free events: no fees at all.</t>
        </is>
      </c>
      <c r="N15" s="2" t="inlineStr">
        <is>
          <t>No separate seating line; no surcharge stated on page (null).</t>
        </is>
      </c>
      <c r="O15" s="2" t="inlineStr">
        <is>
          <t>Universe Payments: after the event (48 h after, third-party); Stripe Connect: your Stripe schedule.</t>
        </is>
      </c>
      <c r="P15" s="2" t="inlineStr">
        <is>
          <t>Standard chargeback support included (Universe submits evidence on Universe Payments disputes); extended support only in Pro.</t>
        </is>
      </c>
      <c r="Q15" s="2" t="inlineStr">
        <is>
          <t>'Excludes VAT and processing fees' per pricing page</t>
        </is>
      </c>
      <c r="R15" s="2" t="inlineStr">
        <is>
          <t>• Fees vary by currency/location; VAT may apply; all-in pricing is shown as one number in every country except the USA.
• Nonprofit/charity special pricing on request via a referral code that must be entered on every event page.
• No free trial; no setup or termination fees; upgrade/downgrade/cancel any time.
• Payment plans unavailable in Europe; fee cannot be passed to buyers in eight European countries (third-party).</t>
        </is>
      </c>
      <c r="S15" s="2" t="inlineStr"/>
      <c r="T15" s="2" t="inlineStr"/>
      <c r="U15" s="2" t="inlineStr">
        <is>
          <t>independent organizers worldwide (NA, UK, EU, AU/NZ); owned by Live Nation; Pro tier can sell on Ticketmaster</t>
        </is>
      </c>
      <c r="V15" s="2" t="inlineStr">
        <is>
          <t>page</t>
        </is>
      </c>
      <c r="W15" s="2" t="inlineStr">
        <is>
          <t>https://www.universe.com/pricing (pricing page (US view))
https://hi.events/fees/universe (third-party: Hi.Events fee page (a competitor))</t>
        </is>
      </c>
    </row>
    <row r="16">
      <c r="A16" s="2" t="inlineStr">
        <is>
          <t>Глобальные self-serve</t>
        </is>
      </c>
      <c r="B16" s="21" t="inlineStr">
        <is>
          <t>Universe (Live Nation)</t>
        </is>
      </c>
      <c r="C16" s="2" t="inlineStr">
        <is>
          <t>https://www.universe.com</t>
        </is>
      </c>
      <c r="D16" s="2" t="inlineStr">
        <is>
          <t>Europe / UK / Australia</t>
        </is>
      </c>
      <c r="E16" s="2" t="inlineStr">
        <is>
          <t>EUR / GBP / AUD</t>
        </is>
      </c>
      <c r="F16" s="2" t="inlineStr">
        <is>
          <t>оба варианта</t>
        </is>
      </c>
      <c r="G16" s="2" t="inlineStr">
        <is>
          <t>As US (Universe Payments after event, or own Stripe).</t>
        </is>
      </c>
      <c r="H16" s="2" t="inlineStr">
        <is>
          <t>percent_plus_fixed</t>
        </is>
      </c>
      <c r="I16" s="2" t="inlineStr">
        <is>
          <t>• Starter (third-party): 2.0% +0.99 потолок 9.95 — UK: 2% + GBP 0.99; AU: 2% + A$0.99; service-fee cap GBP 9.95 — EUR varies by country from 1% + EUR 0.50 (France) to 5% + EUR 0.50 (Ireland) per Hi.Events</t>
        </is>
      </c>
      <c r="J16" s="2" t="inlineStr"/>
      <c r="K16" s="2" t="inlineStr">
        <is>
          <t>включён: True; свой процессинг: True; Universe Payments, Stripe Connect; UK/AU: Universe Payments adds 2% (third-party)</t>
        </is>
      </c>
      <c r="L16" s="2" t="inlineStr">
        <is>
          <t>configurable except in 8 European countries</t>
        </is>
      </c>
      <c r="M16" s="2" t="inlineStr">
        <is>
          <t>Free events free.</t>
        </is>
      </c>
      <c r="N16" s="2" t="inlineStr"/>
      <c r="O16" s="2" t="inlineStr">
        <is>
          <t>As US.</t>
        </is>
      </c>
      <c r="P16" s="2" t="inlineStr"/>
      <c r="Q16" s="2" t="inlineStr">
        <is>
          <t>fees shown all-in (VAT where applicable)</t>
        </is>
      </c>
      <c r="R16" s="2" t="inlineStr">
        <is>
          <t>• Not read from Universe's own country pages (country selector not rendered in the scrape).</t>
        </is>
      </c>
      <c r="S16" s="2" t="inlineStr"/>
      <c r="T16" s="2" t="inlineStr"/>
      <c r="U16" s="2" t="inlineStr">
        <is>
          <t>independent organizers worldwide (NA, UK, EU, AU/NZ); owned by Live Nation; Pro tier can sell on Ticketmaster</t>
        </is>
      </c>
      <c r="V16" s="2" t="inlineStr">
        <is>
          <t>third_party</t>
        </is>
      </c>
      <c r="W16" s="2" t="inlineStr">
        <is>
          <t>https://hi.events/fees/universe (third-party Hi.Events fee page)</t>
        </is>
      </c>
    </row>
    <row r="17">
      <c r="A17" s="2" t="inlineStr">
        <is>
          <t>Глобальные self-serve</t>
        </is>
      </c>
      <c r="B17" s="21" t="inlineStr">
        <is>
          <t>TicketSource</t>
        </is>
      </c>
      <c r="C17" s="2" t="inlineStr">
        <is>
          <t>https://www.ticketsource.co.uk</t>
        </is>
      </c>
      <c r="D17" s="2" t="inlineStr">
        <is>
          <t>United Kingdom</t>
        </is>
      </c>
      <c r="E17" s="2" t="inlineStr">
        <is>
          <t>GBP</t>
        </is>
      </c>
      <c r="F17" s="2" t="inlineStr">
        <is>
          <t>оба варианта</t>
        </is>
      </c>
      <c r="G17" s="2" t="inlineStr">
        <is>
          <t>Default: TicketSource payment processing (platform collects card payments, emails a fee breakdown after the event and pays out the MONDAY after the event, arriving by Wednesday). Alternative: connect own Stripe - payments go straight to the organizer's bank via Stripe and the fee drops to 4.5% + VAT because the organizer pays Stripe's fees.</t>
        </is>
      </c>
      <c r="H17" s="2" t="inlineStr">
        <is>
          <t>percent</t>
        </is>
      </c>
      <c r="I17" s="2" t="inlineStr">
        <is>
          <t>• TicketSource payment processing: 7.0% мин 0.25 — All features, seating plans, phone/email/live-chat support; includes card processing — 7% + VAT per PAID BOOKING (order), minimum GBP 0.25 + VAT per paid booking; GBP 10 booking = GBP 0.84 incl. VAT
• Own Stripe account: 4.5% — Same features; Stripe fees charged separately by Stripe — 4.5% + VAT per paid booking
• Registered charity:  — Reduced booking fees on both options + Gift Aid and donation add-on — Discount amount not on page</t>
        </is>
      </c>
      <c r="J17" s="2" t="inlineStr"/>
      <c r="K17" s="2" t="inlineStr">
        <is>
          <t>включён: True; свой процессинг: True; TicketSource processing, Stripe (own account); With TicketSource processing the card cost is included in 7%; with own Stripe Stripe's rate is paid to Stripe</t>
        </is>
      </c>
      <c r="L17" s="2" t="inlineStr">
        <is>
          <t>configurable (include in the price or pass on to the customer)</t>
        </is>
      </c>
      <c r="M17" s="2" t="inlineStr">
        <is>
          <t>No fees for in-person bookings or free events.</t>
        </is>
      </c>
      <c r="N17" s="2" t="inlineStr">
        <is>
          <t>Full access to the seating-plan designer on all accounts; no surcharge stated</t>
        </is>
      </c>
      <c r="O17" s="2" t="inlineStr">
        <is>
          <t>Monday after the event (arrives Wed/Thu); with Stripe: as sales happen on Stripe's schedule.</t>
        </is>
      </c>
      <c r="P17" s="2" t="inlineStr">
        <is>
          <t>Full refund guarantee: if the event is cancelled/postponed the customer is refunded ticket + booking fee with no extra charge (TicketSource bears the fee).</t>
        </is>
      </c>
      <c r="Q17" s="2" t="inlineStr">
        <is>
          <t>fee quoted + VAT: VAT is added (GBP 0.70 + VAT = GBP 0.84 on a GBP 10 booking in the page calculator)</t>
        </is>
      </c>
      <c r="R17" s="2" t="inlineStr">
        <is>
          <t>• Fee is per BOOKING (order), not per ticket: a booking of many tickets pays one 7% fee.
• Card donations: 5% admin fee deducted; no fee for cash/cheque donations.
• ticketingfees.co.uk (competitor) quotes 7% INCLUDING VAT, contradicting the page calculator that adds VAT on top.
• No contracts, hidden fees or access tiers; telephone/live-chat support on all accounts.</t>
        </is>
      </c>
      <c r="S17" s="2" t="inlineStr"/>
      <c r="T17" s="2" t="inlineStr"/>
      <c r="U17" s="2" t="inlineStr">
        <is>
          <t>UK theatres, venues, community groups, charities; no contracts, no tiers; one booking fee; all features for all</t>
        </is>
      </c>
      <c r="V17" s="2" t="inlineStr">
        <is>
          <t>page</t>
        </is>
      </c>
      <c r="W17" s="2" t="inlineStr">
        <is>
          <t>https://www.ticketsource.co.uk/pricing (pricing page)
https://www.tickettailor.com/blog/a-guide-to-pricing-for-online-ticketing (competitor (Ticket Tailor) blog: '7% per order')</t>
        </is>
      </c>
    </row>
    <row r="18">
      <c r="A18" s="2" t="inlineStr">
        <is>
          <t>Глобальные self-serve</t>
        </is>
      </c>
      <c r="B18" s="21" t="inlineStr">
        <is>
          <t>Ticketbud</t>
        </is>
      </c>
      <c r="C18" s="2" t="inlineStr">
        <is>
          <t>https://www.ticketbud.com</t>
        </is>
      </c>
      <c r="D18" s="2" t="inlineStr">
        <is>
          <t>US</t>
        </is>
      </c>
      <c r="E18" s="2" t="inlineStr">
        <is>
          <t>USD</t>
        </is>
      </c>
      <c r="F18" s="2" t="inlineStr">
        <is>
          <t>direct merchant</t>
        </is>
      </c>
      <c r="G18" s="2" t="inlineStr">
        <is>
          <t>Organizer connects own Stripe or PayPal account (Ticketbud helps set up); processor fee 2.9% + 30c goes to the processor. Ticketbud's 2% + $0.99 per ticket is paid by attendees as a service fee unless the organizer absorbs it (collection mechanism not stated on the page). Help centre snippet (2023): Stripe payments have a 7-day rolling payout.</t>
        </is>
      </c>
      <c r="H18" s="2" t="inlineStr">
        <is>
          <t>percent_plus_fixed</t>
        </is>
      </c>
      <c r="I18" s="2" t="inlineStr">
        <is>
          <t>• Paid events: 2.0% +0.99 — All features, unlimited events and tickets, support; no tiers, no subscription, no credit card to start — Attendees pay 2% + $0.99 per ticket by default; organizer may absorb
• Non-profit &amp; schools: 1.75% +0.99 — Same — Attendee-paid by default
• Free events: 0.0% +0.0 — Free events completely free</t>
        </is>
      </c>
      <c r="J18" s="2" t="inlineStr"/>
      <c r="K18" s="2" t="inlineStr">
        <is>
          <t>включён: False; свой процессинг: True; Stripe, PayPal; Stripe/PayPal 2.9% + 30c per transaction (page wording: 'per ticket')</t>
        </is>
      </c>
      <c r="L18" s="2" t="inlineStr">
        <is>
          <t>buyer (attendees pay unless organizer absorbs)</t>
        </is>
      </c>
      <c r="M18" s="2" t="inlineStr">
        <is>
          <t>Free events free.</t>
        </is>
      </c>
      <c r="N18" s="2" t="inlineStr">
        <is>
          <t>Reserved seating feature exists (feature page); surcharge not stated</t>
        </is>
      </c>
      <c r="O18" s="2" t="inlineStr">
        <is>
          <t>Direct from Stripe/PayPal; 7-day rolling payouts on Stripe (help snippet 2023-09).</t>
        </is>
      </c>
      <c r="P18" s="2" t="inlineStr">
        <is>
          <t>Not captured.</t>
        </is>
      </c>
      <c r="Q18" s="2" t="inlineStr">
        <is>
          <t>prices excl. tax</t>
        </is>
      </c>
      <c r="R18" s="2" t="inlineStr">
        <is>
          <t>• Discounted rate for tickets under $10 available on request (contact): amount not published.
• Custom &amp; white-label: contact sales.
• Rentable event hardware sold separately via shop.ticketbud.com (prices not captured).</t>
        </is>
      </c>
      <c r="S18" s="2" t="inlineStr"/>
      <c r="T18" s="2" t="inlineStr">
        <is>
          <t>Custom &amp; white label: 'let's chat'</t>
        </is>
      </c>
      <c r="U18" s="2" t="inlineStr">
        <is>
          <t>US small/mid events, hospitality, reunions, non-profits/schools; fee mostly paid by attendees; hardware rental and RFID options</t>
        </is>
      </c>
      <c r="V18" s="2" t="inlineStr">
        <is>
          <t>page</t>
        </is>
      </c>
      <c r="W18" s="2" t="inlineStr">
        <is>
          <t>https://www.ticketbud.com/pricing/ (pricing page)
https://help.ticketbud.com/hc/en-us/articles/216675507-Payment-processor-options (help snippet (not opened))</t>
        </is>
      </c>
    </row>
    <row r="19">
      <c r="A19" s="2" t="inlineStr">
        <is>
          <t>Театры и рассадка</t>
        </is>
      </c>
      <c r="B19" s="21" t="inlineStr">
        <is>
          <t>ThunderTix</t>
        </is>
      </c>
      <c r="C19" s="2" t="inlineStr">
        <is>
          <t>https://www.thundertix.com</t>
        </is>
      </c>
      <c r="D19" s="2" t="inlineStr">
        <is>
          <t>US (page also offers USD/CAD/GBP/AUD/NZD display toggle; non-USD amounts not captured)</t>
        </is>
      </c>
      <c r="E19" s="2" t="inlineStr">
        <is>
          <t>USD</t>
        </is>
      </c>
      <c r="F19" s="2" t="inlineStr">
        <is>
          <t>direct merchant</t>
        </is>
      </c>
      <c r="G19" s="2" t="inlineStr">
        <is>
          <t>Organizer connects own gateway (Stripe, Square, Authorize.net, Beanstream, Moneris, Elavon, Braintree); revenue goes to organizer's bank, typically nightly. ThunderTix bills its monthly plan + per-ticket overage on an invoice; billing cycle starts the day the gateway is connected and card payments go live.</t>
        </is>
      </c>
      <c r="H19" s="2" t="inlineStr">
        <is>
          <t>mixed</t>
        </is>
      </c>
      <c r="I19" s="2" t="inlineStr">
        <is>
          <t>• General Admission: 0% +1.0 20/мес — includes first 20 tickets per month — $1 per ticket beyond the 20; no % of sales
• Reserved Seating (Most Popular): 0% +1.25 25/мес — includes first 20 tickets/month; custom interactive seating charts, tables/boxes/balconies, ADA linking — seating chart built by ThunderTix for a one-time fee, see seating
• White Glove: 0% +1.95 195/мес — first 100 tickets/month; free seating chart + account setup, ticket templates and event pages built for you, branded subdomain, Meta CAPI, thermal ticket printing
• K12 Schools (new for 2026): 3.5% +0.65 — reserved + GA seating, district season passes — 3.5% is all-in and includes Stripe card fees; requires the school's own Stripe account; verified K-12 schools/districts/edu nonprofits only</t>
        </is>
      </c>
      <c r="J19" s="2" t="inlineStr"/>
      <c r="K19" s="2" t="inlineStr">
        <is>
          <t>включён: False; свой процессинг: True; Stripe, Square, Authorize.net, Beanstream, Moneris, Elavon, Braintree; Organizer pays its gateway directly (FAQ cites Stripe ~2.9%+30c, Square in-person from ~2.6%+15c); no extra ThunderTix fee for using own gateway; K12 plan is the exception (3.5% all-in)</t>
        </is>
      </c>
      <c r="L19" s="2" t="inlineStr"/>
      <c r="M19" s="2" t="inlineStr">
        <is>
          <t>Only manually comped $0 tickets on single events and fully-free events are excluded from billing; tickets discounted to $0 by coupon/flex pass or comped inside a package DO count toward monthly ticket totals</t>
        </is>
      </c>
      <c r="N19" s="2" t="inlineStr">
        <is>
          <t>Custom chart built by ThunderTix: one-time $0.55 per seat (minimum $250); nonprofit rate $0.40 per seat (minimum $175); free with White Glove plan. Reserved plan costs $0.25/ticket and $5/mo more than GA</t>
        </is>
      </c>
      <c r="O19" s="2" t="inlineStr">
        <is>
          <t>Nightly deposits directly into the organizer's own gateway/bank account; no holding until after the event</t>
        </is>
      </c>
      <c r="P19" s="2" t="inlineStr">
        <is>
          <t>Not stated on pricing/FAQ; refund-to-gift-card feature; unlimited exchanges</t>
        </is>
      </c>
      <c r="Q19" s="2" t="inlineStr">
        <is>
          <t>not stated; US sales-tax context</t>
        </is>
      </c>
      <c r="R19" s="2" t="inlineStr">
        <is>
          <t>• No contract or minimum term; cancel anytime, no fee; 14-day free trial, can be extended
• Billing begins when payment gateway goes live
• Donations 2% credit-card fee, free by check; gift cards, merchandise sales and memberships 2%
• Flexible Ticket Upgrade (CFAR): patron pays 10% to cancel for any reason, organizer keeps 65% of each upgrade
• Nonprofit discounts 'available - just ask' (only the seating-chart discount is quantified)
• Hardware (Zebra TC21/Chainway C90 scanners, card readers) sold separately, prices not published</t>
        </is>
      </c>
      <c r="S19" s="2" t="inlineStr">
        <is>
          <t>• {"name": "Email branding / mass email", "price": "$10/mo incl. 4,000 emails; $0.002 each beyond"}
• {"name": "Thermal ticket printing setup", "price": "$199 one-time (included in White Glove)"}
• {"name": "Meta Conversions API", "price": "$20/mo, needs branded subdomain (included in White Glove)"}
• {"name": "Branded subdomain", "price": "included only in White Glove (price otherwise not shown)"}</t>
        </is>
      </c>
      <c r="T19" s="2" t="inlineStr">
        <is>
          <t>No public enterprise tier; White Glove is the top tier</t>
        </is>
      </c>
      <c r="U19" s="2" t="inlineStr">
        <is>
          <t>performing arts venues, theatres, music venues, schools; subscription + flat per-ticket fee, no % of sales</t>
        </is>
      </c>
      <c r="V19" s="2" t="inlineStr">
        <is>
          <t>page</t>
        </is>
      </c>
      <c r="W19" s="2" t="inlineStr">
        <is>
          <t>https://www.thundertix.com/online-ticketing-software-pricing/ (pricing page)
https://www.thundertix.com/frequently-asked-questions/ (FAQ: setup fee, gateway, billing, comps)</t>
        </is>
      </c>
    </row>
    <row r="20">
      <c r="A20" s="2" t="inlineStr">
        <is>
          <t>Театры и рассадка</t>
        </is>
      </c>
      <c r="B20" s="21" t="inlineStr">
        <is>
          <t>AudienceView Professional (incl. OvationTix)</t>
        </is>
      </c>
      <c r="C20" s="2" t="inlineStr">
        <is>
          <t>https://www.audienceview.com</t>
        </is>
      </c>
      <c r="D20" s="2" t="inlineStr">
        <is>
          <t>Global (NA focus)</t>
        </is>
      </c>
      <c r="E20" s="2" t="n"/>
      <c r="F20" s="2" t="inlineStr">
        <is>
          <t>оба варианта</t>
        </is>
      </c>
      <c r="G20" s="2" t="inlineStr">
        <is>
          <t>Pricing page lists 'Merchant account and payment gateway connection' as included (organizer's own merchant account). A separate AV Payments product exists (page not read). Third party (TicketPeak, a competitor) says AudienceView pays after the event and only on manual request.</t>
        </is>
      </c>
      <c r="H20" s="2" t="inlineStr">
        <is>
          <t>negotiated</t>
        </is>
      </c>
      <c r="I20" s="2" t="inlineStr">
        <is>
          <t>• Subscription pricing:  — unlimited users, support 24/7/365, CRM, shopping-cart branding, seating charts, comps 1:1 with paid, donations/memberships/merch/gift cards, implementation and data migration — no price published
• Per-ticket pricing:  — no price published; same feature set</t>
        </is>
      </c>
      <c r="J20" s="2" t="inlineStr"/>
      <c r="K20" s="2" t="inlineStr">
        <is>
          <t>включён: None; свой процессинг: True</t>
        </is>
      </c>
      <c r="L20" s="2" t="inlineStr"/>
      <c r="M20" s="2" t="inlineStr">
        <is>
          <t>Complimentary tickets included at a 1:1 ratio with paid tickets</t>
        </is>
      </c>
      <c r="N20" s="2" t="inlineStr">
        <is>
          <t>Reserved seating charts 'tailored to venue'; footnote says additional seating charts may incur a fee (amount not given)</t>
        </is>
      </c>
      <c r="O20" s="2" t="inlineStr">
        <is>
          <t>third_party (ticketpeak.com): paid after the show closes, must be requested</t>
        </is>
      </c>
      <c r="P20" s="2" t="inlineStr"/>
      <c r="Q20" s="2" t="inlineStr"/>
      <c r="R20" s="2" t="inlineStr">
        <is>
          <t>• Claims 'transparent pricing with no hidden fees' but gives no numbers
• Quote form asks annual ticket bands: 0-2,999 / 3,000-4,999 / 5,000-14,999 / 15,000-49,999 / 50,000-199,999 / 200,000+ and annual ticket revenue
• Other products: AudienceView Unlimited (enterprise), Campus (higher ed)</t>
        </is>
      </c>
      <c r="S20" s="2" t="inlineStr"/>
      <c r="T20" s="2" t="inlineStr">
        <is>
          <t>Contact sales only; no third-party number found</t>
        </is>
      </c>
      <c r="U20" s="2" t="inlineStr">
        <is>
          <t>mid/large performing arts, live music, museums, higher ed; quote-based subscription or per-ticket</t>
        </is>
      </c>
      <c r="V20" s="2" t="inlineStr">
        <is>
          <t>page</t>
        </is>
      </c>
      <c r="W20" s="2" t="inlineStr">
        <is>
          <t>https://www.audienceview.com/professional/pricing/ (pricing page (request form))
https://ticketpeak.com/when-do-ticketing-platforms-pay/ (third-party payout claim)</t>
        </is>
      </c>
    </row>
    <row r="21">
      <c r="A21" s="2" t="inlineStr">
        <is>
          <t>Театры и рассадка</t>
        </is>
      </c>
      <c r="B21" s="21" t="inlineStr">
        <is>
          <t>Brushfire</t>
        </is>
      </c>
      <c r="C21" s="2" t="inlineStr">
        <is>
          <t>https://www.brushfire.com</t>
        </is>
      </c>
      <c r="D21" s="2" t="inlineStr">
        <is>
          <t>US</t>
        </is>
      </c>
      <c r="E21" s="2" t="inlineStr">
        <is>
          <t>USD</t>
        </is>
      </c>
      <c r="F21" s="2" t="inlineStr">
        <is>
          <t>direct merchant</t>
        </is>
      </c>
      <c r="G21" s="2" t="inlineStr">
        <is>
          <t>Payments run on the organizer's own Square or Stripe account at those processors' standard rates, no Brushfire markup; funds deposited quickly ('instantly' per FAQ). How Brushfire's own fee is collected (application fee vs invoice) is not stated.</t>
        </is>
      </c>
      <c r="H21" s="2" t="inlineStr">
        <is>
          <t>mixed</t>
        </is>
      </c>
      <c r="I21" s="2" t="inlineStr">
        <is>
          <t>• Attractions: +0.75 — season pass, group ticketing, mobile box office app, hardware credit when switching — no charge for free tickets
• Education: +0.75 — dedicated Customer Success Manager, season pass, group, box office app — no charge for free tickets
• Churches &amp; ministries under 1,500 weekly attendance: 299/мес — ticketing, registration, ChMS integrations — plus card processing
• Churches &amp; ministries over 1,500 weekly attendance: 1.0% +1.0 — calculator example: $275 ticket x1,000 -&gt; Brushfire fee $3.75/ticket
• Other events: 1.0% +1.5 — dedicated CSM, season pass, group, box office app, hardware credit — free-ticket treatment not stated for this tier</t>
        </is>
      </c>
      <c r="J21" s="2" t="inlineStr"/>
      <c r="K21" s="2" t="inlineStr">
        <is>
          <t>включён: False; свой процессинг: True; Square, Stripe; Square 2.6%+$0.15 in person, 2.9%+$0.30 online, 3.5%+$0.15 keyed; Stripe 2.7%+$0.05 in person, 2.9%+$0.30 online, 3.4%+$0.30 keyed; 'Stripe partnership rates' 2.9%+$0.30 online, 2.6%+$0.10 chip/PIN, 3.5%+$0.15 keyed</t>
        </is>
      </c>
      <c r="L21" s="2" t="inlineStr">
        <is>
          <t>configurable</t>
        </is>
      </c>
      <c r="M21" s="2" t="inlineStr">
        <is>
          <t>No charge for free tickets on Attractions/Education tiers</t>
        </is>
      </c>
      <c r="N21" s="2" t="inlineStr">
        <is>
          <t>No seating surcharge stated on pricing page</t>
        </is>
      </c>
      <c r="O21" s="2" t="inlineStr">
        <is>
          <t>Deposited quickly after transactions (FAQ says 'instantly'); direct to organizer's processor account</t>
        </is>
      </c>
      <c r="P21" s="2" t="inlineStr"/>
      <c r="Q21" s="2" t="inlineStr">
        <is>
          <t>not stated</t>
        </is>
      </c>
      <c r="R21" s="2" t="inlineStr">
        <is>
          <t>• No setup fees, no monthly costs (except church plan), no contracts
• Pass fees to attendees / absorb / custom fee structure
• Display prices include required fees where applicable
• Hardware credit when switching from another provider</t>
        </is>
      </c>
      <c r="S21" s="2" t="inlineStr"/>
      <c r="T21" s="2" t="inlineStr">
        <is>
          <t>Demo-driven; no enterprise price shown</t>
        </is>
      </c>
      <c r="U21" s="2" t="inlineStr">
        <is>
          <t>attractions, farms, haunts, festivals, schools, churches; pay-as-you-go per ticket, vertical-specific rates</t>
        </is>
      </c>
      <c r="V21" s="2" t="inlineStr">
        <is>
          <t>page</t>
        </is>
      </c>
      <c r="W21" s="2" t="inlineStr">
        <is>
          <t>https://www.brushfire.com/pricing (pricing page + FAQ)</t>
        </is>
      </c>
    </row>
    <row r="22">
      <c r="A22" s="2" t="inlineStr">
        <is>
          <t>Театры и рассадка</t>
        </is>
      </c>
      <c r="B22" s="21" t="inlineStr">
        <is>
          <t>Yapsody</t>
        </is>
      </c>
      <c r="C22" s="2" t="inlineStr">
        <is>
          <t>https://www.yapsody.com</t>
        </is>
      </c>
      <c r="D22" s="2" t="inlineStr">
        <is>
          <t>Global (currency selector USD/GBP/CAD/AUD and ~160 more)</t>
        </is>
      </c>
      <c r="E22" s="2" t="inlineStr">
        <is>
          <t>USD</t>
        </is>
      </c>
      <c r="F22" s="2" t="inlineStr">
        <is>
          <t>direct merchant</t>
        </is>
      </c>
      <c r="G22" s="2" t="inlineStr">
        <is>
          <t>Organizer links own gateway (Stripe, PayPal, 14+ gateways); 'payout directly to your account', 'zero holding of funds'. Yapsody bills its fee afterwards (monthly invoices/autopay, 'pay us later'); the 50% non-profit rebate is applied on monthly invoices.</t>
        </is>
      </c>
      <c r="H22" s="2" t="inlineStr">
        <is>
          <t>percent_plus_fixed</t>
        </is>
      </c>
      <c r="I22" s="2" t="inlineStr">
        <is>
          <t>• General seating: 1.75% +0.59 — all features, unlimited events, onboarding support — per ticket sold
• Reserved seating: 2.49% +0.98 — interactive seat-map tool, VIP sections — per ticket sold</t>
        </is>
      </c>
      <c r="J22" s="2" t="inlineStr"/>
      <c r="K22" s="2" t="inlineStr">
        <is>
          <t>включён: False; свой процессинг: True; Stripe, PayPal, 14+ other gateways; Organizer pays gateway; Yapsody calculator example: $100 ticket general seating -&gt; $2.34 Yapsody fee</t>
        </is>
      </c>
      <c r="L22" s="2" t="inlineStr">
        <is>
          <t>configurable</t>
        </is>
      </c>
      <c r="M22" s="2" t="inlineStr">
        <is>
          <t>Free events: all features free</t>
        </is>
      </c>
      <c r="N22" s="2" t="inlineStr">
        <is>
          <t>Reserved seating costs +$0.39 and +0.74 pts over general seating; no chart setup fee stated</t>
        </is>
      </c>
      <c r="O22" s="2" t="inlineStr">
        <is>
          <t>Paid directly by organizer's own processor; no funds held by Yapsody</t>
        </is>
      </c>
      <c r="P22" s="2" t="inlineStr"/>
      <c r="Q22" s="2" t="inlineStr">
        <is>
          <t>not stated</t>
        </is>
      </c>
      <c r="R22" s="2" t="inlineStr">
        <is>
          <t>• 50% rebate on fees for non-profit/NGO events (applied on monthly invoices)
• Zero setup cost, no hidden charges
• Ability to pass on fees or use fee-inclusive pricing
• Site shows $ for calculator even with other currencies; per-currency fee amounts not published</t>
        </is>
      </c>
      <c r="S22" s="2" t="inlineStr"/>
      <c r="T22" s="2" t="inlineStr">
        <is>
          <t>Custom feature development and managed services for strategic clients; no prices</t>
        </is>
      </c>
      <c r="U22" s="2" t="inlineStr">
        <is>
          <t>events, casinos/hospitality, theatres; lowest-headline-fee positioning; monthly invoiced, organizer keeps cash</t>
        </is>
      </c>
      <c r="V22" s="2" t="inlineStr">
        <is>
          <t>page</t>
        </is>
      </c>
      <c r="W22" s="2" t="inlineStr">
        <is>
          <t>https://www.yapsody.com/ticketing/pricing/ (pricing page)</t>
        </is>
      </c>
    </row>
    <row r="23">
      <c r="A23" s="2" t="inlineStr">
        <is>
          <t>Театры и рассадка</t>
        </is>
      </c>
      <c r="B23" s="21" t="inlineStr">
        <is>
          <t>SimpleTix</t>
        </is>
      </c>
      <c r="C23" s="2" t="inlineStr">
        <is>
          <t>https://www.simpletix.com</t>
        </is>
      </c>
      <c r="D23" s="2" t="inlineStr">
        <is>
          <t>Global (account country list incl. Czech Republic, Spain, Portugal, Poland, UK, EU states; calculator offers USD/GBP/CAD/AUD/EUR)</t>
        </is>
      </c>
      <c r="E23" s="2" t="inlineStr">
        <is>
          <t>USD</t>
        </is>
      </c>
      <c r="F23" s="2" t="inlineStr">
        <is>
          <t>direct merchant</t>
        </is>
      </c>
      <c r="G23" s="2" t="inlineStr">
        <is>
          <t>Organizer connects own Square, Stripe, PayPal or Authorize.net; 'immediate payouts to your merchant account'. With Stripe, PayPal and Square US the SimpleTix fee is deducted inside the transaction (application-fee style); for other processors and offline sales SimpleTix charges the organizer's card on the 1st of the following month.</t>
        </is>
      </c>
      <c r="H23" s="2" t="inlineStr">
        <is>
          <t>percent_plus_fixed</t>
        </is>
      </c>
      <c r="I23" s="2" t="inlineStr">
        <is>
          <t>• Online sales: 2.0% +0.79 потолок 9.99 — all features, no tiers — cap $9.99 per ticket
• In-person / box office: +0.25 — Square/Stripe readers, tap to pay, cash/comp support
• Season tickets: 2.0% +0.79 — charged on total pass value; GA or reserved
• Tickets $5 or less: +0.25
• Non-profit (501c3): 2.0% +0.71 — FAQ describes 10% off the platform fee, not the card fee</t>
        </is>
      </c>
      <c r="J23" s="2" t="inlineStr"/>
      <c r="K23" s="2" t="inlineStr">
        <is>
          <t>включён: False; свой процессинг: True; Square, Stripe, PayPal, Authorize.net; Calculator assumes 2.9% + 30c; actual per processor/country</t>
        </is>
      </c>
      <c r="L23" s="2" t="inlineStr">
        <is>
          <t>configurable</t>
        </is>
      </c>
      <c r="M23" s="2" t="inlineStr">
        <is>
          <t>GA and Flex Pass free tickets $0; reserved-seat free tickets 25c each</t>
        </is>
      </c>
      <c r="N23" s="2" t="inlineStr">
        <is>
          <t>Reserved seating supported; seating charts built free; reserved free tickets 25c</t>
        </is>
      </c>
      <c r="O23" s="2" t="inlineStr">
        <is>
          <t>Immediate to organizer's merchant account</t>
        </is>
      </c>
      <c r="P23" s="2" t="inlineStr"/>
      <c r="Q23" s="2" t="inlineStr">
        <is>
          <t>not stated; 'All prices shown in USD'</t>
        </is>
      </c>
      <c r="R23" s="2" t="inlineStr">
        <is>
          <t>• No setup, monthly or contract fees
• Three fee options: pass all, custom service fee added on top (100% to organizer), absorb all
• Square Canada/UK/Australia and non-Stripe processors: fee billed to card on file monthly</t>
        </is>
      </c>
      <c r="S23" s="2" t="inlineStr"/>
      <c r="T23" s="2" t="inlineStr">
        <is>
          <t>none published</t>
        </is>
      </c>
      <c r="U23" s="2" t="inlineStr">
        <is>
          <t>small/mid organizers incl. theatres and comedy clubs worldwide; per-ticket fee with cap, no tiers</t>
        </is>
      </c>
      <c r="V23" s="2" t="inlineStr">
        <is>
          <t>page</t>
        </is>
      </c>
      <c r="W23" s="2" t="inlineStr">
        <is>
          <t>https://www.simpletix.com/pricing/ (pricing page + FAQ)</t>
        </is>
      </c>
    </row>
    <row r="24">
      <c r="A24" s="2" t="inlineStr">
        <is>
          <t>Сев.-Зап. Европа и Швейцария</t>
        </is>
      </c>
      <c r="B24" s="21" t="inlineStr">
        <is>
          <t>pretix (pretix.eu hosted + self-hosted Community/Enterprise)</t>
        </is>
      </c>
      <c r="C24" s="2" t="inlineStr">
        <is>
          <t>https://pretix.eu</t>
        </is>
      </c>
      <c r="D24" s="2" t="inlineStr">
        <is>
          <t>Hosted (pretix.eu), all countries (business customers only)</t>
        </is>
      </c>
      <c r="E24" s="2" t="inlineStr">
        <is>
          <t>EUR</t>
        </is>
      </c>
      <c r="F24" s="2" t="inlineStr">
        <is>
          <t>direct merchant</t>
        </is>
      </c>
      <c r="G24" s="2" t="inlineStr">
        <is>
          <t>Buyer pays into the organizer's own bank / PayPal / Stripe / Mollie etc. (pretix integrates providers; organizer picks). pretix bills its fee by monthly invoice (SEPA debit, card or bank transfer). No payout from pretix.</t>
        </is>
      </c>
      <c r="H24" s="2" t="inlineStr">
        <is>
          <t>percent</t>
        </is>
      </c>
      <c r="I24" s="2" t="inlineStr">
        <is>
          <t>• pretix Hosted (pay as you sell): 2.5% потолок 15.0 — all features: shop, access control, point-of-sale, unlimited users, email+phone support, API; seating plugin included on hosted — 2.5% of net ticket price (also applied to non-ticket products), capped at EUR 15 per ticket (reached at ~EUR 600 tickets); for other currencies a cap of roughly EUR 15 equivalent; only successfully paid orders are charged; no minimum term
• pretix Hosted for non-profits: 2.0% потолок 15.0 — same as above — applied for after account creation, decided case-by-case by pretix independent of legal charity status; free-ticket price EUR 0.10 and free quota 2,500/yr</t>
        </is>
      </c>
      <c r="J24" s="2" t="inlineStr"/>
      <c r="K24" s="2" t="inlineStr">
        <is>
          <t>включён: False; свой процессинг: True; bank transfer, PayPal, Stripe, Mollie, others via plugins; organizer pays provider fees directly to the provider (pretix links special Mollie conditions)</t>
        </is>
      </c>
      <c r="L24" s="2" t="inlineStr">
        <is>
          <t>organizer (pretix invoices organizer); organizer can add a service fee to buyer price via plugin/settings</t>
        </is>
      </c>
      <c r="M24" s="2" t="inlineStr">
        <is>
          <t>first 500 free tickets per calendar year are free; quota grows by 1 for every paid ticket sold; beyond that EUR 0.50 per free ticket (non-profit: 2,500 free quota, EUR 0.10)</t>
        </is>
      </c>
      <c r="N24" s="2" t="inlineStr">
        <is>
          <t>Seating plugin is a proprietary plugin (3 license points on Enterprise); on Hosted it is included in the standard price (page says price includes almost all features)</t>
        </is>
      </c>
      <c r="O24" s="2" t="inlineStr">
        <is>
          <t>N/A - money goes directly to organizer's payment account</t>
        </is>
      </c>
      <c r="P24" s="2" t="inlineStr">
        <is>
          <t>no cancellation fee; fees already paid on cancelled orders are NOT refunded but credited against the next invoice</t>
        </is>
      </c>
      <c r="Q24" s="2" t="inlineStr">
        <is>
          <t>prices exclude VAT; German-resident organizers (and EU without VAT ID) get 19% VAT added on pretix's invoice; fee is computed on the net ticket price</t>
        </is>
      </c>
      <c r="R24" s="2" t="inlineStr">
        <is>
          <t>• only for businesses/associations/non-profits, not consumers
• Peppol / Italy / Portugal e-invoicing add-on EUR 0.20 per invoice
• lead scanning add-on EUR 25 per exhibitor that scanned at least one lead
• discounts for large customers on request
• invoice monthly</t>
        </is>
      </c>
      <c r="S24" s="2" t="inlineStr">
        <is>
          <t>• {"name": "Lead scanning (pretixLEAD)", "price": "EUR 25 per exhibitor"}
• {"name": "Peppol / e-invoicing", "price": "EUR 0.20 per invoice"}
• {"name": "pretixPOS / SCAN / KIOSK apps and hardware rental", "price": "included in %, hardware rental price not captured"}</t>
        </is>
      </c>
      <c r="T24" s="2" t="inlineStr">
        <is>
          <t>volume discounts on request via sales</t>
        </is>
      </c>
      <c r="U24" s="2" t="inlineStr">
        <is>
          <t>conferences, festivals, theatres, exhibitions; self-serve SaaS or self-hosted open source; non-profit friendly</t>
        </is>
      </c>
      <c r="V24" s="2" t="inlineStr">
        <is>
          <t>page</t>
        </is>
      </c>
      <c r="W24" s="2" t="inlineStr">
        <is>
          <t>https://pretix.eu/about/en/pricing (hosted pricing + FAQ)
https://pretix.eu/about/en/pricing?nonprofit=true (non-profit pricing)</t>
        </is>
      </c>
    </row>
    <row r="25">
      <c r="A25" s="2" t="inlineStr">
        <is>
          <t>Сев.-Зап. Европа и Швейцария</t>
        </is>
      </c>
      <c r="B25" s="21" t="inlineStr">
        <is>
          <t>pretix (pretix.eu hosted + self-hosted Community/Enterprise)</t>
        </is>
      </c>
      <c r="C25" s="2" t="inlineStr">
        <is>
          <t>https://pretix.eu</t>
        </is>
      </c>
      <c r="D25" s="2" t="inlineStr">
        <is>
          <t>Self-hosted / on-premise licence (global)</t>
        </is>
      </c>
      <c r="E25" s="2" t="inlineStr">
        <is>
          <t>EUR</t>
        </is>
      </c>
      <c r="F25" s="2" t="inlineStr">
        <is>
          <t>direct merchant</t>
        </is>
      </c>
      <c r="G25" s="2" t="inlineStr">
        <is>
          <t>Software is run by the organizer; no per-ticket fee to pretix; payments go to organizer's own providers.</t>
        </is>
      </c>
      <c r="H25" s="2" t="inlineStr">
        <is>
          <t>subscription</t>
        </is>
      </c>
      <c r="I25" s="2" t="inlineStr">
        <is>
          <t>• Community: 0% +0 — open source AGPLv3, unlimited volume, open-source plugins, community support only — needs Linux server admin skills; no proprietary plugins (seating, POS, etc.)
• Enterprise Starter: 499 (&lt;=10k orders and &lt;=30k revenue) / 900 (&lt;=20k orders, &lt;=60k rev) / 2000 (&lt;=50k, &lt;=150k) / 3600 (&lt;=100k, &lt;=300k) / 8100 (&lt;=250k, &lt;=750k) / 14500 (&lt;=500k, &lt;=1.5M) / 26100 (&lt;=1M, &lt;=3M) / 44000 (&gt;1M orders, &gt;3M)/год — pretix Enterprise licence, 3 plugin license points, email support next business day — tier chosen by orders per year and turnover excl. VAT; volume reported at licence-year end and retroactively upgraded if exceeded; auto-renews yearly, 4 weeks notice; payment upfront for the year
• Enterprise Professional: 750 / 1300 / 2900 / 5200 / 11700 / 21000 / 37800 / 62000 (same 8 volume steps)/год — 10 license points, phone support subject to availability — see Starter for steps
• Enterprise Ultimate: 950 / 1700 / 3800 / 6800 / 15300 / 27500 / 49500 / 85000 (same 8 volume steps)/год — 20 license points, contact sales — see Starter for steps</t>
        </is>
      </c>
      <c r="J25" s="2" t="inlineStr"/>
      <c r="K25" s="2" t="inlineStr">
        <is>
          <t>включён: False; свой процессинг: True; any supported plugin; organizer deals with providers directly</t>
        </is>
      </c>
      <c r="L25" s="2" t="inlineStr">
        <is>
          <t>organizer</t>
        </is>
      </c>
      <c r="M25" s="2" t="inlineStr">
        <is>
          <t>unlimited (volume counts every order incl. free ones)</t>
        </is>
      </c>
      <c r="N25" s="2" t="inlineStr">
        <is>
          <t>Seating plugin costs 3 license points</t>
        </is>
      </c>
      <c r="O25" s="2" t="inlineStr">
        <is>
          <t>N/A</t>
        </is>
      </c>
      <c r="P25" s="2" t="inlineStr">
        <is>
          <t>N/A (no per-ticket fee)</t>
        </is>
      </c>
      <c r="Q25" s="2" t="inlineStr">
        <is>
          <t>VAT or other taxes added depending on location</t>
        </is>
      </c>
      <c r="R25" s="2" t="inlineStr">
        <is>
          <t>• plugin license points: Seating 3, Exhibitors/Lead scanning 3, pretixPOS 2, Resellers 2, Shipping 2, TICKeos 2, HubSpot 2, most others 1
• default Enterprise licence does NOT allow running the software for third-party organizers (reselling as a service needs an individual offer)
• one production server per licence; multi-server by offer
• custom development billed by hour or negotiated contribution share</t>
        </is>
      </c>
      <c r="S25" s="2" t="inlineStr"/>
      <c r="T25" s="2" t="inlineStr">
        <is>
          <t>multi-tenant / white-label for third parties: individual offer</t>
        </is>
      </c>
      <c r="U25" s="2" t="inlineStr">
        <is>
          <t>conferences, festivals, theatres, exhibitions; self-serve SaaS or self-hosted open source; non-profit friendly</t>
        </is>
      </c>
      <c r="V25" s="2" t="inlineStr">
        <is>
          <t>page</t>
        </is>
      </c>
      <c r="W25" s="2" t="inlineStr">
        <is>
          <t>https://pretix.eu/about/en/pricing/selfhosted (self-hosted licence table + FAQ)</t>
        </is>
      </c>
    </row>
    <row r="26">
      <c r="A26" s="2" t="inlineStr">
        <is>
          <t>Южная Европа</t>
        </is>
      </c>
      <c r="B26" s="21" t="inlineStr">
        <is>
          <t>Tuk Tuk</t>
        </is>
      </c>
      <c r="C26" s="2" t="inlineStr">
        <is>
          <t>https://tuktuk.cat</t>
        </is>
      </c>
      <c r="D26" s="2" t="inlineStr">
        <is>
          <t>Spain</t>
        </is>
      </c>
      <c r="E26" s="2" t="inlineStr">
        <is>
          <t>EUR</t>
        </is>
      </c>
      <c r="F26" s="2" t="inlineStr">
        <is>
          <t>оба варианта</t>
        </is>
      </c>
      <c r="G26" s="2" t="inlineStr">
        <is>
          <t>Default: platform collects and transfers sales to the organiser's bank account after the event (with invoice for the fee). ENTERPRISE: direct payment gateway to the organiser's own account. The page does not give a payout day count.</t>
        </is>
      </c>
      <c r="H26" s="2" t="inlineStr">
        <is>
          <t>percent</t>
        </is>
      </c>
      <c r="I26" s="2" t="inlineStr">
        <is>
          <t>• FREE: 0.0% — Free (0 EUR) tickets only, up to 3 events and 500 tickets per event; QR validation, named tickets, capacity control, email delivery, Google Wallet
• BASIC: 8.0% — Unlimited events and tickets, ticket types, named tickets, stats, card and Bizum, WhatsApp + email delivery, basic support — Fee includes IVA and card/Bizum payment costs. EUR 12 ticket -&gt; EUR 0.96 fee
• PROFESSIONAL: 9.0% — Basic + group tickets, season passes, seat map for theatres, VIP table map, invitations, discount codes, Meta Pixel, priority support
• ENTERPRISE:  — Professional + white label, own domain and email domain, DIRECT payment gateway into the organiser's bank account, Verifactu-compatible invoicing, webhooks, onboarding — Contact sales</t>
        </is>
      </c>
      <c r="J26" s="2" t="inlineStr"/>
      <c r="K26" s="2" t="inlineStr">
        <is>
          <t>включён: True; свой процессинг: None; Card, Bizum; included in the % fee</t>
        </is>
      </c>
      <c r="L26" s="2" t="inlineStr">
        <is>
          <t>configurable: fee added on top of the ticket (buyer pays, default/most common) or included in the price and deducted from proceeds (organiser pays ~11 EUR on a 12 EUR ticket)</t>
        </is>
      </c>
      <c r="M26" s="2" t="inlineStr">
        <is>
          <t>FREE plan: no commission for 0 EUR tickets, capped at 3 events / 500 tickets per event</t>
        </is>
      </c>
      <c r="N26" s="2" t="inlineStr">
        <is>
          <t>Seat map only on PROFESSIONAL (9%) and above</t>
        </is>
      </c>
      <c r="O26" s="2" t="inlineStr">
        <is>
          <t>After the event, direct to bank account, with invoice for the fee (no day count stated).</t>
        </is>
      </c>
      <c r="P26" s="2" t="inlineStr">
        <is>
          <t>Fee is not refundable if the organiser cancels the event.</t>
        </is>
      </c>
      <c r="Q26" s="2" t="inlineStr">
        <is>
          <t>'El IVA ya esta incluido' - the percentage is VAT-inclusive</t>
        </is>
      </c>
      <c r="R26" s="2" t="inlineStr">
        <is>
          <t>• 8%/9% are gross incl. IVA and payment costs, so net of 21% IVA the platform keeps about 6.6% / 7.4% before card costs (arithmetic, not a quoted figure)</t>
        </is>
      </c>
      <c r="S26" s="2" t="inlineStr"/>
      <c r="T26" s="2" t="inlineStr">
        <is>
          <t>ENTERPRISE: contact sales</t>
        </is>
      </c>
      <c r="U26" s="2" t="inlineStr">
        <is>
          <t>Catalan/Spanish self-serve ticketing for small concerts, theatres, town festivals, free events</t>
        </is>
      </c>
      <c r="V26" s="2" t="inlineStr">
        <is>
          <t>page</t>
        </is>
      </c>
      <c r="W26" s="2" t="inlineStr">
        <is>
          <t>https://tuktuk.cat/es/precios (pricing: FREE / BASIC 8% / PROFESSIONAL 9% / ENTERPRISE, VAT included)
https://tuktuk.cat/es/blog/12/cuanto-cuesta-vender-entradas-online/ (own blog: who pays, example 300 x 12 EUR, payout at end of event with invoice)</t>
        </is>
      </c>
    </row>
    <row r="27">
      <c r="A27" s="2" t="inlineStr">
        <is>
          <t>Южная Европа</t>
        </is>
      </c>
      <c r="B27" s="21" t="inlineStr">
        <is>
          <t>Soundtix</t>
        </is>
      </c>
      <c r="C27" s="2" t="inlineStr">
        <is>
          <t>https://soundtix.com</t>
        </is>
      </c>
      <c r="D27" s="2" t="inlineStr">
        <is>
          <t>Spain</t>
        </is>
      </c>
      <c r="E27" s="2" t="inlineStr">
        <is>
          <t>EUR</t>
        </is>
      </c>
      <c r="F27" s="2" t="inlineStr">
        <is>
          <t>direct merchant</t>
        </is>
      </c>
      <c r="G27" s="2" t="inlineStr">
        <is>
          <t>Stripe Connect: each organiser has their own Stripe account and the money goes straight to it at the moment of purchase; Soundtix never holds it. Fee is added on top of the base price paid by the buyer (application-fee style split).</t>
        </is>
      </c>
      <c r="H27" s="2" t="inlineStr">
        <is>
          <t>percent</t>
        </is>
      </c>
      <c r="I27" s="2" t="inlineStr">
        <is>
          <t>• Standard (ticket base price &lt; 40 EUR): 10.0% — Stripe processing, ticketing platform, 100% white label, Apple Pay/Google Pay, no-registration checkout, QR access control, embeddable widget, Meta Ads + Mailchimp integrations, support 24/7, virtual queue, seat selection — Pricing page: 'ronda el 10%' added to the base price and split into Stripe commission + Soundtix commission (example 15 EUR ticket: buyer pays 16.41; Stripe 0.42; Soundtix 0.99). The blog states, for a 40 EUR ticket, buyer pays 42 EUR: Stripe 0.88 + Soundtix 1.12 incl IVA (= 2.8% platform fee). The two descriptions are not the same schedule - scale not reconciled.
• Tickets &gt; 40 EUR or high volume:  — Custom proposal — No public number</t>
        </is>
      </c>
      <c r="J27" s="2" t="inlineStr"/>
      <c r="K27" s="2" t="inlineStr">
        <is>
          <t>включён: True; свой процессинг: True; Stripe (Stripe Connect); Stripe ES standard ~1.5% + 0.15 EUR (as quoted by Soundtix); Soundtix absorbs Stripe changes</t>
        </is>
      </c>
      <c r="L27" s="2" t="inlineStr">
        <is>
          <t>buyer (fee added to the base price; organiser receives the base price in full)</t>
        </is>
      </c>
      <c r="M27" s="2" t="inlineStr">
        <is>
          <t>Free events cost nothing</t>
        </is>
      </c>
      <c r="N27" s="2" t="inlineStr">
        <is>
          <t>Seat selection included (no surcharge stated)</t>
        </is>
      </c>
      <c r="O27" s="2" t="inlineStr">
        <is>
          <t>Instant, direct to the organiser's Stripe account.</t>
        </is>
      </c>
      <c r="P27" s="2" t="inlineStr">
        <is>
          <t>If the event is cancelled Soundtix returns its fee and also covers Stripe's non-refundable part for the first 100 EUR of Stripe costs for new promoters.</t>
        </is>
      </c>
      <c r="Q27" s="2" t="inlineStr">
        <is>
          <t>Fee amounts are shown INCLUDING IVA (comparison article: 'todos los precios con IVA incluido'; example: Soundtix 1.12 EUR 'IVA incluido')</t>
        </is>
      </c>
      <c r="R27" s="2" t="inlineStr">
        <is>
          <t>• No monthly fee, no setup, no minimum, no contract
• Real-world example on the pricing page: 201 tickets at 15 EUR average</t>
        </is>
      </c>
      <c r="S27" s="2" t="inlineStr"/>
      <c r="T27" s="2" t="inlineStr">
        <is>
          <t>Custom for &gt;40 EUR tickets / large volume</t>
        </is>
      </c>
      <c r="U27" s="2" t="inlineStr">
        <is>
          <t>Spanish white-label ticketing for venues/promoters/bands, built on Stripe Connect with instant payouts to the organiser's own Stripe</t>
        </is>
      </c>
      <c r="V27" s="2" t="inlineStr">
        <is>
          <t>page</t>
        </is>
      </c>
      <c r="W27" s="2" t="inlineStr">
        <is>
          <t>https://soundtix.com/precios-comisiones-venta-entradas (official pricing page)
https://soundtix.com/blog/comparativa-ticketeras-espana-2026 (own comparison article, 2026-08-23: 2.8% example, cancellation cover)</t>
        </is>
      </c>
    </row>
    <row r="28">
      <c r="A28" s="2" t="inlineStr">
        <is>
          <t>Южная Европа</t>
        </is>
      </c>
      <c r="B28" s="21" t="inlineStr">
        <is>
          <t>Trackage Scheme (Malta)</t>
        </is>
      </c>
      <c r="C28" s="2" t="inlineStr">
        <is>
          <t>https://trackagescheme.com</t>
        </is>
      </c>
      <c r="D28" s="2" t="inlineStr">
        <is>
          <t>Malta</t>
        </is>
      </c>
      <c r="E28" s="2" t="inlineStr">
        <is>
          <t>EUR</t>
        </is>
      </c>
      <c r="F28" s="2" t="inlineStr">
        <is>
          <t>direct merchant</t>
        </is>
      </c>
      <c r="G28" s="2" t="inlineStr">
        <is>
          <t>Funds settle directly into the organiser's own Stripe account; Trackage says it does not hold the money. Stripe standard schedule 'typically 2-7 days for Maltese accounts'. Fee collected as a booking fee.</t>
        </is>
      </c>
      <c r="H28" s="2" t="inlineStr">
        <is>
          <t>mixed</t>
        </is>
      </c>
      <c r="I28" s="2" t="inlineStr">
        <is>
          <t>• Per-ticket booking fee:  — Charged only when a ticket sells; no subscriptions, no setup fees — Rate not published: 'contact us for specific pricing based on event size and type'</t>
        </is>
      </c>
      <c r="J28" s="2" t="inlineStr"/>
      <c r="K28" s="2" t="inlineStr">
        <is>
          <t>включён: False; свой процессинг: True; Stripe; Stripe's own rate, not stated</t>
        </is>
      </c>
      <c r="L28" s="2" t="inlineStr"/>
      <c r="M28" s="2" t="inlineStr"/>
      <c r="N28" s="2" t="inlineStr"/>
      <c r="O28" s="2" t="inlineStr">
        <is>
          <t>Stripe standard payout, 2-7 days for Maltese accounts</t>
        </is>
      </c>
      <c r="P28" s="2" t="inlineStr"/>
      <c r="Q28" s="2" t="inlineStr">
        <is>
          <t>Not stated</t>
        </is>
      </c>
      <c r="R28" s="2" t="inlineStr"/>
      <c r="S28" s="2" t="inlineStr"/>
      <c r="T28" s="2" t="inlineStr">
        <is>
          <t>Event-size based quote</t>
        </is>
      </c>
      <c r="U28" s="2" t="inlineStr">
        <is>
          <t>Maltese music-event ticketing with payouts into the organiser's own Stripe account</t>
        </is>
      </c>
      <c r="V28" s="2" t="inlineStr">
        <is>
          <t>page</t>
        </is>
      </c>
      <c r="W28" s="2" t="inlineStr">
        <is>
          <t>https://trackagescheme.com/tickets (organiser page (via fetch summarizer))</t>
        </is>
      </c>
    </row>
    <row r="29">
      <c r="A29" s="2" t="inlineStr">
        <is>
          <t>Центр. и Вост. Европа, Балканы, Прибалтика</t>
        </is>
      </c>
      <c r="B29" s="21" t="inlineStr">
        <is>
          <t>BZUCO (bezticketingovky.cz)</t>
        </is>
      </c>
      <c r="C29" s="2" t="inlineStr">
        <is>
          <t>https://bezticketingovky.cz</t>
        </is>
      </c>
      <c r="D29" s="2" t="inlineStr">
        <is>
          <t>Czechia</t>
        </is>
      </c>
      <c r="E29" s="2" t="inlineStr">
        <is>
          <t>CZK</t>
        </is>
      </c>
      <c r="F29" s="2" t="inlineStr">
        <is>
          <t>direct merchant</t>
        </is>
      </c>
      <c r="G29" s="2" t="inlineStr">
        <is>
          <t>Buyers pay via organizer's own gateway (GoPay, Comgate) or by bank transfer to the organizer's account (Fio banka matching), money goes straight to the organizer. Platform fee is drawn automatically from a prepaid annual credit on each ticket sold.</t>
        </is>
      </c>
      <c r="H29" s="2" t="inlineStr">
        <is>
          <t>prepaid_credits</t>
        </is>
      </c>
      <c r="I29" s="2" t="inlineStr">
        <is>
          <t>• Zakladni (Basic): 2% — smaller events; one-time setup 5,000 CZK; minimum annual credit 10,000 CZK — Commission deducted from credit
• Premium: 3% — more features, larger events; no setup fee; minimum annual credit 50,000 CZK — Commission deducted from credit</t>
        </is>
      </c>
      <c r="J29" s="2" t="inlineStr">
        <is>
          <t>• min annual credit 10,000 CZK (Basic): None (срок: not stated; возврат: None)
• min annual credit 50,000 CZK (Premium): None (срок: not stated; возврат: None)</t>
        </is>
      </c>
      <c r="K29" s="2" t="inlineStr">
        <is>
          <t>включён: False; свой процессинг: True; GoPay, Comgate, bank transfer; Gateway typically charges 'up to 1%' to the organizer</t>
        </is>
      </c>
      <c r="L29" s="2" t="inlineStr">
        <is>
          <t>configurable: optional per-ticket buyer fee paid to the ORGANIZER (e.g. 20 CZK on 500 CZK) to cover the 2-3% plus gateway</t>
        </is>
      </c>
      <c r="M29" s="2" t="inlineStr"/>
      <c r="N29" s="2" t="inlineStr"/>
      <c r="O29" s="2" t="inlineStr">
        <is>
          <t>Not applicable (money goes directly to the organizer immediately)</t>
        </is>
      </c>
      <c r="P29" s="2" t="inlineStr"/>
      <c r="Q29" s="2" t="inlineStr">
        <is>
          <t>not stated</t>
        </is>
      </c>
      <c r="R29" s="2" t="inlineStr">
        <is>
          <t>• Site says 'no monthly fees' and 'no commitments' yet requires a minimum annual credit - internally inconsistent
• Marketing comparison on 500,000 CZK turnover: BZUCO 2% = 10,000 CZK; 3% = 15,000; SMSTicket 5% = 25,000; GoOut 7% = 35,000; Ticketportal 8% = 40,000 (competitor rates are the vendor's claims)
• Currencies: CZK, EUR, PLN</t>
        </is>
      </c>
      <c r="S29" s="2" t="inlineStr"/>
      <c r="T29" s="2" t="inlineStr"/>
      <c r="U29" s="2" t="inlineStr">
        <is>
          <t>Czech 'ticketing without a ticketing company': organizer uses own payment gateway/bank account, pays 2-3% from prepaid credit; closest structural analogue to Arena in the Czech market</t>
        </is>
      </c>
      <c r="V29" s="2" t="inlineStr">
        <is>
          <t>page</t>
        </is>
      </c>
      <c r="W29" s="2" t="inlineStr">
        <is>
          <t>https://bezticketingovky.cz/ (pricing and money-flow page)</t>
        </is>
      </c>
    </row>
    <row r="30">
      <c r="A30" s="2" t="inlineStr">
        <is>
          <t>Центр. и Вост. Европа, Балканы, Прибалтика</t>
        </is>
      </c>
      <c r="B30" s="21" t="inlineStr">
        <is>
          <t>Colosseum / ColosseumTicket (Perfect System s.r.o.)</t>
        </is>
      </c>
      <c r="C30" s="2" t="inlineStr">
        <is>
          <t>https://colosseum.eu</t>
        </is>
      </c>
      <c r="D30" s="2" t="inlineStr">
        <is>
          <t>Czechia</t>
        </is>
      </c>
      <c r="E30" s="2" t="inlineStr">
        <is>
          <t>CZK</t>
        </is>
      </c>
      <c r="F30" s="2" t="inlineStr">
        <is>
          <t>оба варианта</t>
        </is>
      </c>
      <c r="G30" s="2" t="inlineStr">
        <is>
          <t>Colosseum SOFTWARE is the organizer's own system (organizer owns data and payments, licence/rental/cloud fee, 'no commission'); the ColosseumTicket.cz marketplace collects buyer payments and passes the organizer its share ('odvedeme jim v odpovidajicim pomeru').</t>
        </is>
      </c>
      <c r="H30" s="2" t="inlineStr">
        <is>
          <t>mixed</t>
        </is>
      </c>
      <c r="I30" s="2" t="inlineStr">
        <is>
          <t>• Colosseum software - three business models: 0% — up-front purchase with no per-sale fees, OR fixed monthly rental, OR one-off purchase plus monthly cloud operation fee; self-hosted option; hardware (printers, scanners, kiosks) and implementation extra — FAQ: 'What cut does Colosseum take? Nothing - no commission'. Price list page ('Cenik') says 'coming soon', offers a tailored quote. No numbers anywhere.</t>
        </is>
      </c>
      <c r="J30" s="2" t="inlineStr"/>
      <c r="K30" s="2" t="inlineStr">
        <is>
          <t>включён: False; свой процессинг: True; online card, Google Pay, Apple Pay, transfer, Twisto, meal vouchers (software supports them)</t>
        </is>
      </c>
      <c r="L30" s="2" t="inlineStr">
        <is>
          <t>buyer pays small per-order handling fees on the marketplace; organizer pays licence</t>
        </is>
      </c>
      <c r="M30" s="2" t="inlineStr"/>
      <c r="N30" s="2" t="inlineStr">
        <is>
          <t>Hall/seating editor included in software</t>
        </is>
      </c>
      <c r="O30" s="2" t="inlineStr"/>
      <c r="P30" s="2" t="inlineStr">
        <is>
          <t>Marketplace: payment-type fees (benefit cards) and postage not refunded on cancelled events</t>
        </is>
      </c>
      <c r="Q30" s="2" t="inlineStr"/>
      <c r="R30" s="2" t="inlineStr">
        <is>
          <t>• ColosseumTicket buyer-side price list (section 10 of T&amp;Cs): e-ticket delivery 20 CZK, registered mail 129 CZK, bulk order (10+) or pay-by-invoice 30 CZK, Gallery Beta card 5% of purchase value, Pluxee/Benefit Plus/Benefity 10% of purchase value, optional ticket insurance 39-1,980 CZK per ticket
• ColosseumTicket organizer commission not published: T&amp;Cs say the portal's service fee 'is usually a percentage of the purchase value'
• Hospodarske noviny 2026-04-13 (paywalled snippet) notes a Colosseum Ticket buyer paying an extra fee on an 899 CZK theatre ticket; fee amount not retrievable</t>
        </is>
      </c>
      <c r="S30" s="2" t="inlineStr">
        <is>
          <t>• {"name": "hardware, implementation, marketing, festival service", "price": "quote only"}</t>
        </is>
      </c>
      <c r="T30" s="2" t="inlineStr">
        <is>
          <t>Quote on request; price list 'in preparation'</t>
        </is>
      </c>
      <c r="U30" s="2" t="inlineStr">
        <is>
          <t>Reservation SOFTWARE for theatres, museums, castles, stadiums (600+ organizers in CZ/SK, National Theatre) plus the consumer portal ColosseumTicket.cz/.sk</t>
        </is>
      </c>
      <c r="V30" s="2" t="inlineStr">
        <is>
          <t>page</t>
        </is>
      </c>
      <c r="W30" s="2" t="inlineStr">
        <is>
          <t>https://colosseum.eu/ (software homepage incl. FAQ 'no commission')
https://colosseum.eu/cenik (price list placeholder)
https://colosseumticket.cz/cs/obchodni-podminky (marketplace T&amp;Cs with buyer fee list)</t>
        </is>
      </c>
    </row>
    <row r="31">
      <c r="A31" s="2" t="inlineStr">
        <is>
          <t>Центр. и Вост. Европа, Балканы, Прибалтика</t>
        </is>
      </c>
      <c r="B31" s="21" t="inlineStr">
        <is>
          <t>Evenea</t>
        </is>
      </c>
      <c r="C31" s="2" t="inlineStr">
        <is>
          <t>https://evenea.pl</t>
        </is>
      </c>
      <c r="D31" s="2" t="inlineStr">
        <is>
          <t>Poland</t>
        </is>
      </c>
      <c r="E31" s="2" t="inlineStr">
        <is>
          <t>PLN</t>
        </is>
      </c>
      <c r="F31" s="2" t="inlineStr">
        <is>
          <t>оба варианта</t>
        </is>
      </c>
      <c r="G31" s="2" t="inlineStr">
        <is>
          <t>Default: payments go through an online payment provider via Evenea and are settled to the organizer; organizer may connect their own processors (PayU, tPay, PayPal, dotpay, InPay) and then pays only Evenea's commission, settling processing fees directly with the processor. Fee by invoice. Settlement timing article not opened.</t>
        </is>
      </c>
      <c r="H31" s="2" t="inlineStr">
        <is>
          <t>percent_plus_fixed</t>
        </is>
      </c>
      <c r="I31" s="2" t="inlineStr">
        <is>
          <t>• Commission: 2.9% +1.0 — 1 PLN + 2.9% of gross value of each sold PAID ticket (+23% VAT = 3.9 PLN net / 4.80 PLN gross on a 100 PLN ticket) — Always on the organizer's side. Free tickets carry no commission.</t>
        </is>
      </c>
      <c r="J31" s="2" t="inlineStr"/>
      <c r="K31" s="2" t="inlineStr">
        <is>
          <t>включён: False; свой процессинг: True; Evenea payment operator, PayU, tPay, PayPal, dotpay, InPay; Extra online-payment/transfer commission 2.8% of the order's gross value (+23% VAT) when using Evenea's operator - by default charged to the buyer, organizer can take it on; доп. сбор: 2.8% net of order gross value</t>
        </is>
      </c>
      <c r="L31" s="2" t="inlineStr">
        <is>
          <t>platform commission: organizer; processing commission: buyer by default (switchable)</t>
        </is>
      </c>
      <c r="M31" s="2" t="inlineStr">
        <is>
          <t>free, no commission</t>
        </is>
      </c>
      <c r="N31" s="2" t="inlineStr"/>
      <c r="O31" s="2" t="inlineStr">
        <is>
          <t>See help article 'Kiedy otrzymam pieniadze' (not read)</t>
        </is>
      </c>
      <c r="P31" s="2" t="inlineStr"/>
      <c r="Q31" s="2" t="inlineStr">
        <is>
          <t>Evenea commission and processing commission both exclusive of 23% VAT; VAT added</t>
        </is>
      </c>
      <c r="R31" s="2" t="inlineStr">
        <is>
          <t>• Article last updated 2022-03-08, may be stale</t>
        </is>
      </c>
      <c r="S31" s="2" t="inlineStr"/>
      <c r="T31" s="2" t="inlineStr"/>
      <c r="U31" s="2" t="inlineStr">
        <is>
          <t>Polish self-service registration + ticketing for events, courses, conferences, charity runs</t>
        </is>
      </c>
      <c r="V31" s="2" t="inlineStr">
        <is>
          <t>page</t>
        </is>
      </c>
      <c r="W31" s="2" t="inlineStr">
        <is>
          <t>https://evenea.zendesk.com/hc/pl/articles/360011963880-Ile-wynosi-prowizja (help article)</t>
        </is>
      </c>
    </row>
    <row r="32">
      <c r="A32" s="2" t="inlineStr">
        <is>
          <t>Центр. и Вост. Европа, Балканы, Прибалтика</t>
        </is>
      </c>
      <c r="B32" s="21" t="inlineStr">
        <is>
          <t>Tixx.pl</t>
        </is>
      </c>
      <c r="C32" s="2" t="inlineStr">
        <is>
          <t>https://tixx.pl</t>
        </is>
      </c>
      <c r="D32" s="2" t="inlineStr">
        <is>
          <t>Poland</t>
        </is>
      </c>
      <c r="E32" s="2" t="inlineStr">
        <is>
          <t>PLN</t>
        </is>
      </c>
      <c r="F32" s="2" t="inlineStr">
        <is>
          <t>direct merchant</t>
        </is>
      </c>
      <c r="G32" s="2" t="inlineStr">
        <is>
          <t>Ticket money goes straight to the organizer's own account (own bank account with manual matching, or a payment operator such as Przelewy24 under the organizer's contract). Platform fee is a flat subscription.</t>
        </is>
      </c>
      <c r="H32" s="2" t="inlineStr">
        <is>
          <t>subscription</t>
        </is>
      </c>
      <c r="I32" s="2" t="inlineStr">
        <is>
          <t>• STARTER (up to 1 M PLN annual turnover): 0% +0 290/мес 3190/год — unlimited events and tickets, 1 admin account, newsletter once a month, e-mail + phone support Mon-Fri 10-16 — first month free; no setup fee listed
• PREMIUM: 0% +0 990/мес 9900/год — unlimited events/tickets, 5 admin accounts, newsletter twice a month, 24/7 phone support — annual price = ~825 PLN/month</t>
        </is>
      </c>
      <c r="J32" s="2" t="inlineStr"/>
      <c r="K32" s="2" t="inlineStr">
        <is>
          <t>включён: False; свой процессинг: True; Przelewy24, BLIK, cards via organizer's operator; operator fee can be added to the order total and passed to the buyer</t>
        </is>
      </c>
      <c r="L32" s="2" t="inlineStr">
        <is>
          <t>organizer (flat subscription); buyer service fee optional and kept by the organizer</t>
        </is>
      </c>
      <c r="M32" s="2" t="inlineStr"/>
      <c r="N32" s="2" t="inlineStr"/>
      <c r="O32" s="2" t="inlineStr">
        <is>
          <t>Immediate to organizer's account</t>
        </is>
      </c>
      <c r="P32" s="2" t="inlineStr"/>
      <c r="Q32" s="2" t="inlineStr">
        <is>
          <t>prices net of VAT</t>
        </is>
      </c>
      <c r="R32" s="2" t="inlineStr">
        <is>
          <t>• One-time setup fee may apply for large events needing customization or a dedicated server (amount not given)
• Setup takes about two weeks; payment-provider contract longer
• Savings calculator assumes a competitor at 5% + 5 PLN per ticket</t>
        </is>
      </c>
      <c r="S32" s="2" t="inlineStr"/>
      <c r="T32" s="2" t="inlineStr">
        <is>
          <t>Custom solutions on request</t>
        </is>
      </c>
      <c r="U32" s="2" t="inlineStr">
        <is>
          <t>Polish 'ticketing without commission' subscription system; clubs, theatres, event organizers with own bank/Przelewy24</t>
        </is>
      </c>
      <c r="V32" s="2" t="inlineStr">
        <is>
          <t>page</t>
        </is>
      </c>
      <c r="W32" s="2" t="inlineStr">
        <is>
          <t>https://tixx.pl/cennik (price list)
https://tixx.pl/ (homepage and FAQ)</t>
        </is>
      </c>
    </row>
    <row r="33">
      <c r="A33" s="2" t="inlineStr">
        <is>
          <t>Центр. и Вост. Европа, Балканы, Прибалтика</t>
        </is>
      </c>
      <c r="B33" s="21" t="inlineStr">
        <is>
          <t>Biletyna / biletyna.PRO</t>
        </is>
      </c>
      <c r="C33" s="2" t="inlineStr">
        <is>
          <t>https://biletyna.pl</t>
        </is>
      </c>
      <c r="D33" s="2" t="inlineStr">
        <is>
          <t>Poland</t>
        </is>
      </c>
      <c r="E33" s="2" t="inlineStr">
        <is>
          <t>PLN</t>
        </is>
      </c>
      <c r="F33" s="2" t="inlineStr">
        <is>
          <t>оба варианта</t>
        </is>
      </c>
      <c r="G33" s="2" t="inlineStr">
        <is>
          <t>biletyna.PRO 'own sales': money goes directly to the organizer once booked (organizer signs a contract with an online payment operator such as Tpay or PayU separately). Sales through the biletyna.pl portal go to a separate subaccount and are transferred after the event.</t>
        </is>
      </c>
      <c r="H33" s="2" t="inlineStr">
        <is>
          <t>negotiated</t>
        </is>
      </c>
      <c r="I33" s="2" t="inlineStr"/>
      <c r="J33" s="2" t="inlineStr"/>
      <c r="K33" s="2" t="inlineStr">
        <is>
          <t>включён: False; свой процессинг: True; Tpay, PayU; operator fees not described</t>
        </is>
      </c>
      <c r="L33" s="2" t="inlineStr"/>
      <c r="M33" s="2" t="inlineStr"/>
      <c r="N33" s="2" t="inlineStr"/>
      <c r="O33" s="2" t="inlineStr">
        <is>
          <t>Own sales: direct; portal sales: after the event</t>
        </is>
      </c>
      <c r="P33" s="2" t="inlineStr"/>
      <c r="Q33" s="2" t="inlineStr"/>
      <c r="R33" s="2" t="inlineStr">
        <is>
          <t>• No prices: 'we treat every client individually'; onboarding 'a few working hours'; invoicing module free
• The 2025/26 'biletyna.PRO news' PDF claims organizers 'paid 0 PLN commission for launching and running campaigns' (marketing campaign module), not ticket fees</t>
        </is>
      </c>
      <c r="S33" s="2" t="inlineStr">
        <is>
          <t>• {"name": "hardware (ticket machine, printers, terminal)", "price": "not public"}</t>
        </is>
      </c>
      <c r="T33" s="2" t="inlineStr">
        <is>
          <t>Contact wspolpraca@biletyna.pl</t>
        </is>
      </c>
      <c r="U33" s="2" t="inlineStr">
        <is>
          <t>Polish marketplace (biletyna.pl) plus biletyna.PRO ticket system for venues and organizers; 6.1 M tickets sold in 2024 (company claim)</t>
        </is>
      </c>
      <c r="V33" s="2" t="inlineStr">
        <is>
          <t>page</t>
        </is>
      </c>
      <c r="W33" s="2" t="inlineStr">
        <is>
          <t>https://biletyna.pro/produkty/sprzedaz-wlasna (product page)</t>
        </is>
      </c>
    </row>
    <row r="34">
      <c r="A34" s="2" t="inlineStr">
        <is>
          <t>Центр. и Вост. Европа, Балканы, Прибалтика</t>
        </is>
      </c>
      <c r="B34" s="21" t="inlineStr">
        <is>
          <t>Cooltix</t>
        </is>
      </c>
      <c r="C34" s="2" t="inlineStr">
        <is>
          <t>https://organizers.cooltix.com</t>
        </is>
      </c>
      <c r="D34" s="2" t="inlineStr">
        <is>
          <t>Hungary</t>
        </is>
      </c>
      <c r="E34" s="2" t="inlineStr">
        <is>
          <t>HUF</t>
        </is>
      </c>
      <c r="F34" s="2" t="inlineStr">
        <is>
          <t>оба варианта</t>
        </is>
      </c>
      <c r="G34" s="2" t="inlineStr">
        <is>
          <t>Default Cooltix Payment (Stripe): money collected by Stripe, fees deducted from proceeds and invoiced monthly, automatic payout 3 workdays after the event for Hungary-seated organizers (5 for others); early payout only from Intermediate package with individual assessment. Alternative: organizer connects own provider (Stripe, SimplePay, SZEP cards): income goes directly to the organizer, Cooltix fees invoiced monthly / card on file.</t>
        </is>
      </c>
      <c r="H34" s="2" t="inlineStr">
        <is>
          <t>percent_plus_fixed</t>
        </is>
      </c>
      <c r="I34" s="2" t="inlineStr">
        <is>
          <t>• Online ticket sales: 2.7% +47 — standard events — net of VAT; HUF
• Seated events: 3.4% +60 — events with seat map
• Offline / onsite sales: 1% +10 — box office via app</t>
        </is>
      </c>
      <c r="J34" s="2" t="inlineStr"/>
      <c r="K34" s="2" t="inlineStr">
        <is>
          <t>включён: False; свой процессинг: True; Cooltix Payment (Stripe), Stripe, SimplePay, SZEP card (OTP, MBH, MKB); Cooltix Payment Provider 1.5% + 0.25 EUR per transaction (EU pricing page; HU equivalent not given); own provider: no Cooltix surcharge</t>
        </is>
      </c>
      <c r="L34" s="2" t="inlineStr">
        <is>
          <t>buyer: Cooltix is built so the BUYER pays a 'handling fee' set by the organizer (up to 10% of ticket price) which covers card processing and Cooltix fee; any amount above Cooltix's own fee is the organizer's extra income. Organizer can absorb instead.</t>
        </is>
      </c>
      <c r="M34" s="2" t="inlineStr">
        <is>
          <t>no fee on free tickets</t>
        </is>
      </c>
      <c r="N34" s="2" t="inlineStr">
        <is>
          <t>seated events 3.4% + 60 Ft (vs 2.7% + 47 Ft)</t>
        </is>
      </c>
      <c r="O34" s="2" t="inlineStr">
        <is>
          <t>see money_flow_note</t>
        </is>
      </c>
      <c r="P34" s="2" t="inlineStr">
        <is>
          <t>Handling fee never refunded and Cooltix fees still charged on refunded tickets; organizer-initiated refunds follow the same rule; successful chargebacks are deducted from the organizer's income; refunds limited to organizer income less amounts already paid out; no reserve mentioned (but services can be limited if fees unpaid &gt;8 days)</t>
        </is>
      </c>
      <c r="Q34" s="2" t="inlineStr">
        <is>
          <t>fees are net, VAT added; prices in HU are in Ft</t>
        </is>
      </c>
      <c r="R34" s="2" t="inlineStr">
        <is>
          <t>• Fees by country: all EU except HU and other supported countries 2.5% + EUR 0.25 / seated 3% + EUR 0.50 / offline 1% + EUR 0.10; HU 2.7% + 47 Ft / 3.4% + 60 Ft / 1% + 10 Ft (support article dated 2025-12-02)
• Prices net in EUR, VAT extra; revenue kept per currency, conversion costs on organizer
• Per-ticket fee is NOT zero for the organizer in Cooltix's own terms - 'no fee deducted from ticket price' means the buyer-paid handling fee funds it</t>
        </is>
      </c>
      <c r="S34" s="2" t="inlineStr"/>
      <c r="T34" s="2" t="inlineStr">
        <is>
          <t>Intermediate package needed for early payout (individual assessment)</t>
        </is>
      </c>
      <c r="U34" s="2" t="inlineStr">
        <is>
          <t>Hungarian-born self-service ticketing for festivals, clubs, theatres in HU, SK, CZ, HR and other EU countries; 'organizer earns on handling fee' pitch</t>
        </is>
      </c>
      <c r="V34" s="2" t="inlineStr">
        <is>
          <t>page</t>
        </is>
      </c>
      <c r="W34" s="2" t="inlineStr">
        <is>
          <t>https://support.cooltix.com/en/articles/11469656-service-fee-by-country (fee table by country)
https://organizers.cooltix.com/en/pricing (pricing page (EUR): 2.5%+0.25, seated 3%+0.50, on-site 1%+0.10, payment provider 1.5%+0.25)
https://organizers.cooltix.com/sk/ (Slovak organizer page: processing fee cap 10%, own provider invoiced monthly)
https://support.cooltix.com/en/articles/6912347-terms-and-conditions-for-organizers (organizer T&amp;Cs: payouts, refunds, chargebacks)
https://blog.cooltix.com/hu/legjobb-jegyertekesito-oldalak-magyarorszagon (Cooltix blog quoting HU fee and competitors (biased))</t>
        </is>
      </c>
    </row>
    <row r="35">
      <c r="A35" s="2" t="inlineStr">
        <is>
          <t>Центр. и Вост. Европа, Балканы, Прибалтика</t>
        </is>
      </c>
      <c r="B35" s="21" t="inlineStr">
        <is>
          <t>Cooltix</t>
        </is>
      </c>
      <c r="C35" s="2" t="inlineStr">
        <is>
          <t>https://organizers.cooltix.com</t>
        </is>
      </c>
      <c r="D35" s="2" t="inlineStr">
        <is>
          <t>EU (other than HU: SK, CZ, HR, RO, etc.)</t>
        </is>
      </c>
      <c r="E35" s="2" t="inlineStr">
        <is>
          <t>EUR</t>
        </is>
      </c>
      <c r="F35" s="2" t="inlineStr">
        <is>
          <t>оба варианта</t>
        </is>
      </c>
      <c r="G35" s="2" t="inlineStr">
        <is>
          <t>Same as Hungary (Stripe-based Cooltix Payment default; payout 5 workdays after event).</t>
        </is>
      </c>
      <c r="H35" s="2" t="inlineStr">
        <is>
          <t>percent_plus_fixed</t>
        </is>
      </c>
      <c r="I35" s="2" t="inlineStr">
        <is>
          <t>• Online: 2.5% +0.25
• Seated: 3% +0.5
• Offline: 1% +0.1</t>
        </is>
      </c>
      <c r="J35" s="2" t="inlineStr"/>
      <c r="K35" s="2" t="inlineStr">
        <is>
          <t>включён: False; свой процессинг: True; Stripe-powered Cooltix Payment, own Stripe/SimplePay; Cooltix Payment 1.5% + EUR 0.25 per transaction</t>
        </is>
      </c>
      <c r="L35" s="2" t="inlineStr">
        <is>
          <t>buyer handling fee up to 10% of ticket price, organizer keeps surplus</t>
        </is>
      </c>
      <c r="M35" s="2" t="inlineStr">
        <is>
          <t>free</t>
        </is>
      </c>
      <c r="N35" s="2" t="inlineStr">
        <is>
          <t>3% + EUR 0.50</t>
        </is>
      </c>
      <c r="O35" s="2" t="inlineStr">
        <is>
          <t>5 workdays after event (Cooltix Payment) or immediate (own provider)</t>
        </is>
      </c>
      <c r="P35" s="2" t="inlineStr">
        <is>
          <t>as above</t>
        </is>
      </c>
      <c r="Q35" s="2" t="inlineStr">
        <is>
          <t>net of VAT</t>
        </is>
      </c>
      <c r="R35" s="2" t="inlineStr">
        <is>
          <t>• G2 lists Cooltix tiers 'from $0 to $0.75' (snippet, third-party)</t>
        </is>
      </c>
      <c r="S35" s="2" t="inlineStr"/>
      <c r="T35" s="2" t="inlineStr"/>
      <c r="U35" s="2" t="inlineStr">
        <is>
          <t>Hungarian-born self-service ticketing for festivals, clubs, theatres in HU, SK, CZ, HR and other EU countries; 'organizer earns on handling fee' pitch</t>
        </is>
      </c>
      <c r="V35" s="2" t="inlineStr">
        <is>
          <t>page</t>
        </is>
      </c>
      <c r="W35" s="2" t="inlineStr">
        <is>
          <t>https://organizers.cooltix.com/en/pricing (pricing page)</t>
        </is>
      </c>
    </row>
    <row r="36">
      <c r="A36" s="2" t="inlineStr">
        <is>
          <t>Центр. и Вост. Европа, Балканы, Прибалтика</t>
        </is>
      </c>
      <c r="B36" s="21" t="inlineStr">
        <is>
          <t>Funcode / Funcode Wizard / Jegyvasarlas.hu</t>
        </is>
      </c>
      <c r="C36" s="2" t="inlineStr">
        <is>
          <t>https://funcode.hu</t>
        </is>
      </c>
      <c r="D36" s="2" t="inlineStr">
        <is>
          <t>Hungary</t>
        </is>
      </c>
      <c r="E36" s="2" t="inlineStr">
        <is>
          <t>HUF</t>
        </is>
      </c>
      <c r="F36" s="2" t="inlineStr">
        <is>
          <t>оба варианта</t>
        </is>
      </c>
      <c r="G36" s="2" t="inlineStr">
        <is>
          <t>Funcode Wizard: 'ticket income flows directly to the organizer', no entry or monthly costs, quote on request. Jegyvasarlas.hu: provider collects card payments into its own account and settles after the event / monthly (invoice by the 10th, transfer within 10 days).</t>
        </is>
      </c>
      <c r="H36" s="2" t="inlineStr">
        <is>
          <t>negotiated</t>
        </is>
      </c>
      <c r="I36" s="2" t="inlineStr"/>
      <c r="J36" s="2" t="inlineStr"/>
      <c r="K36" s="2" t="inlineStr">
        <is>
          <t>включён: None; свой процессинг: None; SimplePay, SZEP; Jegyvasarlas.hu may pass on SZEP card transaction bank costs on top of commission and convenience fee</t>
        </is>
      </c>
      <c r="L36" s="2" t="inlineStr">
        <is>
          <t>configurable by contract</t>
        </is>
      </c>
      <c r="M36" s="2" t="inlineStr"/>
      <c r="N36" s="2" t="inlineStr"/>
      <c r="O36" s="2" t="inlineStr">
        <is>
          <t>Jegyvasarlas.hu: after event or monthly for venue sales</t>
        </is>
      </c>
      <c r="P36" s="2" t="inlineStr">
        <is>
          <t>Jegyvasarlas.hu: commission and convenience fee may still be charged on cancelled events; penalty 8% of ticket price if the event fails for organizer reasons; 30,000 HUF + VAT per started hour admin fee for client errors / force majeure handling</t>
        </is>
      </c>
      <c r="Q36" s="2" t="inlineStr"/>
      <c r="R36" s="2" t="inlineStr">
        <is>
          <t>• Jegyvasarlas.hu buyer convenience fee: base 150 HUF + 3% of full ticket price (not on every event; organizer agreement may change it)
• Funcode commission rate: not published (quote required)</t>
        </is>
      </c>
      <c r="S36" s="2" t="inlineStr"/>
      <c r="T36" s="2" t="inlineStr">
        <is>
          <t>Quote</t>
        </is>
      </c>
      <c r="U36" s="2" t="inlineStr">
        <is>
          <t>Hungarian ticketing: funcode.hu marketplace, Funcode Wizard self-service builder; Jegyvasarlas.hu regional venue network</t>
        </is>
      </c>
      <c r="V36" s="2" t="inlineStr">
        <is>
          <t>page</t>
        </is>
      </c>
      <c r="W36" s="2" t="inlineStr">
        <is>
          <t>https://www.funcodewizard.hu/ (Wizard page)
https://jegyvasarlas.hu/aszf (T&amp;Cs section 11)</t>
        </is>
      </c>
    </row>
    <row r="37">
      <c r="A37" s="2" t="inlineStr">
        <is>
          <t>Центр. и Вост. Европа, Балканы, Прибалтика</t>
        </is>
      </c>
      <c r="B37" s="21" t="inlineStr">
        <is>
          <t>eTichet.ro and Biletin.ro (new Romanian low-fee platforms)</t>
        </is>
      </c>
      <c r="C37" s="2" t="inlineStr">
        <is>
          <t>https://www.etichet.ro</t>
        </is>
      </c>
      <c r="D37" s="2" t="inlineStr">
        <is>
          <t>Romania (eTichet)</t>
        </is>
      </c>
      <c r="E37" s="2" t="inlineStr">
        <is>
          <t>RON</t>
        </is>
      </c>
      <c r="F37" s="2" t="inlineStr">
        <is>
          <t>direct merchant</t>
        </is>
      </c>
      <c r="G37" s="2" t="inlineStr">
        <is>
          <t>'We process through your merchant account' - organizer's own merchant account; platform commission deducted per sale.</t>
        </is>
      </c>
      <c r="H37" s="2" t="inlineStr">
        <is>
          <t>percent</t>
        </is>
      </c>
      <c r="I37" s="2" t="inlineStr">
        <is>
          <t>• Promotional rate: 3.5% — unlimited events, 24/7 support, all features, price locked for the first year — '30% off' the standard 5%
• Standard rate: 5% — after the promotion</t>
        </is>
      </c>
      <c r="J37" s="2" t="inlineStr"/>
      <c r="K37" s="2" t="inlineStr">
        <is>
          <t>включён: False; свой процессинг: True; organizer's merchant account; no separate processing fee listed</t>
        </is>
      </c>
      <c r="L37" s="2" t="inlineStr">
        <is>
          <t>organizer (calculator default), 100 lei x 100 tickets -&gt; organizer gets 9,650 lei</t>
        </is>
      </c>
      <c r="M37" s="2" t="inlineStr"/>
      <c r="N37" s="2" t="inlineStr"/>
      <c r="O37" s="2" t="inlineStr">
        <is>
          <t>not stated (direct to merchant account)</t>
        </is>
      </c>
      <c r="P37" s="2" t="inlineStr"/>
      <c r="Q37" s="2" t="inlineStr">
        <is>
          <t>not stated</t>
        </is>
      </c>
      <c r="R37" s="2" t="inlineStr">
        <is>
          <t>• Promotion 'limited period'; end date not stated</t>
        </is>
      </c>
      <c r="S37" s="2" t="inlineStr"/>
      <c r="T37" s="2" t="inlineStr"/>
      <c r="U37" s="2" t="inlineStr">
        <is>
          <t>Small self-service ticketing startups with public price lists</t>
        </is>
      </c>
      <c r="V37" s="2" t="inlineStr">
        <is>
          <t>page</t>
        </is>
      </c>
      <c r="W37" s="2" t="inlineStr">
        <is>
          <t>https://www.etichet.ro/sell-tickets (organizer pricing page)</t>
        </is>
      </c>
    </row>
    <row r="38">
      <c r="A38" s="2" t="inlineStr">
        <is>
          <t>Центр. и Вост. Европа, Балканы, Прибалтика</t>
        </is>
      </c>
      <c r="B38" s="21" t="inlineStr">
        <is>
          <t>Bilet.bg (Bilet BG OOD)</t>
        </is>
      </c>
      <c r="C38" s="2" t="inlineStr">
        <is>
          <t>https://bilet.bg</t>
        </is>
      </c>
      <c r="D38" s="2" t="inlineStr">
        <is>
          <t>Bulgaria</t>
        </is>
      </c>
      <c r="E38" s="2" t="inlineStr">
        <is>
          <t>BGN</t>
        </is>
      </c>
      <c r="F38" s="2" t="inlineStr">
        <is>
          <t>оба варианта</t>
        </is>
      </c>
      <c r="G38" s="2" t="inlineStr">
        <is>
          <t>Platform acts as intermediary; organizer can request up to 80% of accumulated sales at any time by e-mail (instant 'Bling' transfer); there are also direct transfers to the organizer's bank or PayPal where Bilet.bg invoices commission after the event.</t>
        </is>
      </c>
      <c r="H38" s="2" t="inlineStr">
        <is>
          <t>percent</t>
        </is>
      </c>
      <c r="I38" s="2" t="inlineStr">
        <is>
          <t>• Exclusive with Bilet.bg: 6% — incl. VAT — 50% discount for charity events (applies to?)
• Non-exclusive (also selling on competing platforms): 7% — incl. VAT — large events: custom offer on request</t>
        </is>
      </c>
      <c r="J38" s="2" t="inlineStr"/>
      <c r="K38" s="2" t="inlineStr">
        <is>
          <t>включён: None; свой процессинг: None; vPOS (Borika, DSK), Stripe, PayPal, bank transfer, cash/POS on courier, kiosks; payment processing fees are non-refundable to buyers; amounts not published</t>
        </is>
      </c>
      <c r="L38" s="2" t="inlineStr">
        <is>
          <t>organizer pays commission; buyers pay administrative / processing fees (non-refundable)</t>
        </is>
      </c>
      <c r="M38" s="2" t="inlineStr"/>
      <c r="N38" s="2" t="inlineStr"/>
      <c r="O38" s="2" t="inlineStr">
        <is>
          <t>up to 80% any time on request; remainder presumably after event (not stated)</t>
        </is>
      </c>
      <c r="P38" s="2" t="inlineStr">
        <is>
          <t>Buyer refund only if event cancelled/postponed; admin and payment fees, delivery costs not refunded</t>
        </is>
      </c>
      <c r="Q38" s="2" t="inlineStr">
        <is>
          <t>commission quoted 'incl. VAT' (6% / 7% with DDS)</t>
        </is>
      </c>
      <c r="R38" s="2" t="inlineStr">
        <is>
          <t>• Buyer name change on ticket: 2 BGN</t>
        </is>
      </c>
      <c r="S38" s="2" t="inlineStr"/>
      <c r="T38" s="2" t="inlineStr">
        <is>
          <t>Custom offers for large events</t>
        </is>
      </c>
      <c r="U38" s="2" t="inlineStr">
        <is>
          <t>Bulgarian self-service ticketing marketplace with exclusive-vs-nonexclusive pricing; payouts up to 80% any time</t>
        </is>
      </c>
      <c r="V38" s="2" t="inlineStr">
        <is>
          <t>page</t>
        </is>
      </c>
      <c r="W38" s="2" t="inlineStr">
        <is>
          <t>https://bilet.bg/bg/sell-with-us (organizer page)
https://bilet.bg/bg/terms-of-service (buyer terms)</t>
        </is>
      </c>
    </row>
    <row r="39">
      <c r="A39" s="2" t="inlineStr">
        <is>
          <t>Центр. и Вост. Европа, Балканы, Прибалтика</t>
        </is>
      </c>
      <c r="B39" s="21" t="inlineStr">
        <is>
          <t>Shownet.lt and Paysera Tickets (Lithuanian direct-to-account self-service)</t>
        </is>
      </c>
      <c r="C39" s="2" t="inlineStr">
        <is>
          <t>https://shownet.lt</t>
        </is>
      </c>
      <c r="D39" s="2" t="inlineStr">
        <is>
          <t>Lithuania (Shownet)</t>
        </is>
      </c>
      <c r="E39" s="2" t="inlineStr">
        <is>
          <t>EUR</t>
        </is>
      </c>
      <c r="F39" s="2" t="inlineStr">
        <is>
          <t>direct merchant</t>
        </is>
      </c>
      <c r="G39" s="2" t="inlineStr">
        <is>
          <t>'Income from buyers goes directly to your account and is available without delays.'</t>
        </is>
      </c>
      <c r="H39" s="2" t="inlineStr">
        <is>
          <t>percent_plus_fixed</t>
        </is>
      </c>
      <c r="I39" s="2" t="inlineStr">
        <is>
          <t>• System commission: 2.5% мин 0.06 — 'from 6 cents to 2.5% for 1 ticket (bankings or cards)'; unlimited scanning devices — currency not named on page; EUR assumed; interaction min/%: ticket fee between 0.06 EUR and 2.5% of ticket</t>
        </is>
      </c>
      <c r="J39" s="2" t="inlineStr"/>
      <c r="K39" s="2" t="inlineStr">
        <is>
          <t>включён: None; свой процессинг: None; bank links, cards</t>
        </is>
      </c>
      <c r="L39" s="2" t="inlineStr">
        <is>
          <t>not stated</t>
        </is>
      </c>
      <c r="M39" s="2" t="inlineStr"/>
      <c r="N39" s="2" t="inlineStr"/>
      <c r="O39" s="2" t="inlineStr">
        <is>
          <t>immediate to organizer's account</t>
        </is>
      </c>
      <c r="P39" s="2" t="inlineStr"/>
      <c r="Q39" s="2" t="inlineStr"/>
      <c r="R39" s="2" t="inlineStr"/>
      <c r="S39" s="2" t="inlineStr"/>
      <c r="T39" s="2" t="inlineStr"/>
      <c r="U39" s="2" t="inlineStr">
        <is>
          <t>Self-service ticketing where organizers are paid directly; Paysera Tickets is the payment-processor-built variant (LT/LV/EE and global)</t>
        </is>
      </c>
      <c r="V39" s="2" t="inlineStr">
        <is>
          <t>page</t>
        </is>
      </c>
      <c r="W39" s="2" t="inlineStr">
        <is>
          <t>https://shownet.lt/to-organizers?lang=en (organizer page)</t>
        </is>
      </c>
    </row>
    <row r="40">
      <c r="A40" s="2" t="inlineStr">
        <is>
          <t>Центр. и Вост. Европа, Балканы, Прибалтика</t>
        </is>
      </c>
      <c r="B40" s="21" t="inlineStr">
        <is>
          <t>Shownet.lt and Paysera Tickets (Lithuanian direct-to-account self-service)</t>
        </is>
      </c>
      <c r="C40" s="2" t="inlineStr">
        <is>
          <t>https://shownet.lt</t>
        </is>
      </c>
      <c r="D40" s="2" t="inlineStr">
        <is>
          <t>Lithuania / Latvia / Estonia and global (Paysera Tickets)</t>
        </is>
      </c>
      <c r="E40" s="2" t="inlineStr">
        <is>
          <t>EUR</t>
        </is>
      </c>
      <c r="F40" s="2" t="inlineStr">
        <is>
          <t>direct merchant</t>
        </is>
      </c>
      <c r="G40" s="2" t="inlineStr">
        <is>
          <t>Ticket revenue lands in the organizer's Paysera account in real time and is available immediately, before the event. Platform fee collected by Paysera from the same flow.</t>
        </is>
      </c>
      <c r="H40" s="2" t="inlineStr">
        <is>
          <t>percent_plus_fixed</t>
        </is>
      </c>
      <c r="I40" s="2" t="inlineStr">
        <is>
          <t>• Platform fee: 2% мин 0.15 потолок 1.0 — ticket sales, scanning app, no hidden ticket/admin fees — 2% additional platform fee per payment, min 0.15 EUR, max 1 EUR
• Paysera Checkout collection fee (volume tiers, 30-day rolling): 0.9% мин 0.1 потолок 0.4 — 0-250 transactions or up to 12,500 EUR/30 days at 0.90% (0.10-0.40 EUR); 251-500 or 12,501-25,000 EUR at 0.75% (0.10-0.35); 501-750 or 25,001-37,500 EUR at 0.50% (0.10-0.30); above that individual offer — Checkout Modern 0% for LT/LV/EE for some payment initiation methods; unclear if it applies to Tickets; card fee 'unchanged' but not shown</t>
        </is>
      </c>
      <c r="J40" s="2" t="inlineStr"/>
      <c r="K40" s="2" t="inlineStr">
        <is>
          <t>включён: False; свой процессинг: False; Paysera; card rate not shown</t>
        </is>
      </c>
      <c r="L40" s="2" t="inlineStr">
        <is>
          <t>not stated</t>
        </is>
      </c>
      <c r="M40" s="2" t="inlineStr">
        <is>
          <t>free events cost the organizer nothing</t>
        </is>
      </c>
      <c r="N40" s="2" t="inlineStr"/>
      <c r="O40" s="2" t="inlineStr">
        <is>
          <t>real time</t>
        </is>
      </c>
      <c r="P40" s="2" t="inlineStr"/>
      <c r="Q40" s="2" t="inlineStr"/>
      <c r="R40" s="2" t="inlineStr">
        <is>
          <t>• Page says neither buyers nor organizers pay unexpected ticket or administration fees</t>
        </is>
      </c>
      <c r="S40" s="2" t="inlineStr"/>
      <c r="T40" s="2" t="inlineStr">
        <is>
          <t>&gt;750 transactions or &gt;37,500 EUR / 30 days: individual offer</t>
        </is>
      </c>
      <c r="U40" s="2" t="inlineStr">
        <is>
          <t>Self-service ticketing where organizers are paid directly; Paysera Tickets is the payment-processor-built variant (LT/LV/EE and global)</t>
        </is>
      </c>
      <c r="V40" s="2" t="inlineStr">
        <is>
          <t>page</t>
        </is>
      </c>
      <c r="W40" s="2" t="inlineStr">
        <is>
          <t>https://tickets.paysera.com/lt-LT/information/about-system (Paysera Tickets about page)
https://www.paysera.com/v2/lt/kainos/imoku-surinkimas-internetu (Paysera collection price list incl. platform fee)</t>
        </is>
      </c>
    </row>
    <row r="41">
      <c r="A41" s="2" t="inlineStr">
        <is>
          <t>СНГ без России, Израиль</t>
        </is>
      </c>
      <c r="B41" s="21" t="inlineStr">
        <is>
          <t>RegToEvent</t>
        </is>
      </c>
      <c r="C41" s="2" t="inlineStr">
        <is>
          <t>https://regtoevent.com</t>
        </is>
      </c>
      <c r="D41" s="2" t="inlineStr">
        <is>
          <t>Ukraine / international (EUR price list; Ukrainian legal entities billed in UAH at PrivatBank rate on payment day)</t>
        </is>
      </c>
      <c r="E41" s="2" t="inlineStr">
        <is>
          <t>EUR</t>
        </is>
      </c>
      <c r="F41" s="2" t="inlineStr">
        <is>
          <t>direct merchant</t>
        </is>
      </c>
      <c r="G41" s="2" t="inlineStr">
        <is>
          <t>Buyer's money goes straight to the organizer's own merchant account or IBAN; the RegToEvent fee is withheld from the ticket price or from a 'euro balance' (or added on top for the buyer on request). For organizers without a merchant account RTE offers turnkey processing that collects on their behalf, for transparent events.</t>
        </is>
      </c>
      <c r="H41" s="2" t="inlineStr">
        <is>
          <t>percent_plus_fixed</t>
        </is>
      </c>
      <c r="I41" s="2" t="inlineStr">
        <is>
          <t>• Free events, 1-100 attendees: 0% +0 — full system — above 100 attendees terms are in the public offer; free-event chat support is paid (99 EUR/month)
• Charity, non-profit fundraising: 1.0% +0.2 — full system
• Large events, 1000+ generated tickets: 2.0% +0.37 — full system
• Small events, up to 999 tickets: 2.9% +0.39 — full system — calculator example: 100 x 50 EUR -&gt; fee 368 EUR (1.84 EUR/ticket)
• Seats, time slots or online broadcast, hall up to 1000: 4.5% +0.3 — full system incl. free hall-scheme builder
• Seats, time slots or online broadcast, hall over 1000: 5.5% +0.3 — full system
• Regular sales (parks, zoos, aquaparks): 2.0% +0 — full system
• High-risk (political, abstract-sacral events): 10.0% +1.0 — full system — 2024 third-party article quoted religious/spiritual events at 30% + 0.5 EUR; current page says 10% + 1 EUR</t>
        </is>
      </c>
      <c r="J41" s="2" t="inlineStr"/>
      <c r="K41" s="2" t="inlineStr">
        <is>
          <t>включён: False; свой процессинг: True; Visa/Mastercard via organizer's acquirer, Stripe, Ukrainian merchants / IBAN; payment-system fees are separate and paid by the organizer to the processor</t>
        </is>
      </c>
      <c r="L41" s="2" t="inlineStr">
        <is>
          <t>organizer (switchable to buyer on top of ticket price)</t>
        </is>
      </c>
      <c r="M41" s="2" t="inlineStr">
        <is>
          <t>free events 0% for 1-100 attendees, over 100 per offer</t>
        </is>
      </c>
      <c r="N41" s="2" t="inlineStr">
        <is>
          <t>seat/slot tickets cost 4.5%/5.5% + 0.3 EUR vs 2.9% + 0.39 EUR for plain tickets; hall-scheme builder free; custom scheme from a drawing from 99 EUR</t>
        </is>
      </c>
      <c r="O41" s="2" t="inlineStr">
        <is>
          <t>straight to organizer account at payment time (direct); turnkey processing option for organizers with no merchant</t>
        </is>
      </c>
      <c r="P41" s="2" t="inlineStr">
        <is>
          <t>not stated on the price page</t>
        </is>
      </c>
      <c r="Q41" s="2" t="inlineStr">
        <is>
          <t>not stated</t>
        </is>
      </c>
      <c r="R41" s="2" t="inlineStr">
        <is>
          <t>• paid add-ons: on-site check-in kits from 129 EUR/point, check-in software from 149 EUR/event, own white-label ticket 200-400 EUR, event setup 99 EUR, turnkey setup 299 EUR, hall scheme from 99 EUR
• networking mobile app 1% + 1 EUR on top and setup fees 299-999 EUR; live-stream packages from 399 EUR
• free-event support 99 EUR/month; visitor support widget 300 EUR/month
• scanner/hardware rental 11-149 EUR/day plus deposit</t>
        </is>
      </c>
      <c r="S41" s="2" t="inlineStr">
        <is>
          <t>• {"name": "check-in on site (kit)", "price": "from 129 EUR per point, 4h slot"}
• {"name": "white-label ticket/forms", "price": "200-300 EUR (forms), ticket design 300-400 EUR"}
• {"name": "networking app", "price": "+1% +1 EUR, setup 299-999 EUR"}</t>
        </is>
      </c>
      <c r="T41" s="2" t="inlineStr">
        <is>
          <t>large/high-risk by public offer, individual quotes for custom work</t>
        </is>
      </c>
      <c r="U41" s="2" t="inlineStr">
        <is>
          <t>self-serve ticketing + registration + on-site check-in services for organizers (UA, PL, RO, ES, PT, EN pages); strong direct-merchant model</t>
        </is>
      </c>
      <c r="V41" s="2" t="inlineStr">
        <is>
          <t>page</t>
        </is>
      </c>
      <c r="W41" s="2" t="inlineStr">
        <is>
          <t>https://regtoevent.com/ua/price/ (price page)
https://regtoevent.com/ua/ (home page (direct to organizer merchant/IBAN))
https://kosht.media/yak-stvoryty-ivent-ta-prodavaty-kvytky-onlayn-ohliad-top-3-servisiv/ (2024-09-30 third-party review quoting older RTE tiers)</t>
        </is>
      </c>
    </row>
    <row r="42">
      <c r="A42" s="2" t="inlineStr">
        <is>
          <t>СНГ без России, Израиль</t>
        </is>
      </c>
      <c r="B42" s="21" t="inlineStr">
        <is>
          <t>Event.net.ua</t>
        </is>
      </c>
      <c r="C42" s="2" t="inlineStr">
        <is>
          <t>https://event.net.ua</t>
        </is>
      </c>
      <c r="D42" s="2" t="inlineStr">
        <is>
          <t>Ukraine</t>
        </is>
      </c>
      <c r="E42" s="2" t="inlineStr">
        <is>
          <t>UAH</t>
        </is>
      </c>
      <c r="F42" s="2" t="inlineStr">
        <is>
          <t>direct merchant</t>
        </is>
      </c>
      <c r="G42" s="2" t="inlineStr">
        <is>
          <t>Payment for tickets goes immediately and only to the organizer's own account; organizer connects Monobank, FinLine, LiqPay or WayForPay. Fiscalisation through checkbox.ua (Monobank) / CashDesk (FinLine).</t>
        </is>
      </c>
      <c r="H42" s="2" t="inlineStr">
        <is>
          <t>flat_per_ticket</t>
        </is>
      </c>
      <c r="I42" s="2" t="inlineStr">
        <is>
          <t>• Free events: +0.0 — unlimited guests — not for seated events
• Free-seating / entrance ticket: +8.0 — regardless of ticket price; no monthly or hidden payments — UAH per ticket
• Seated (hall scheme) ticket: 2.5% +12.0 — organizer picks 12 UAH per ticket OR 2.5% (either/or) — hall-scheme connection paid separately (price not published, contact)</t>
        </is>
      </c>
      <c r="J42" s="2" t="inlineStr"/>
      <c r="K42" s="2" t="inlineStr">
        <is>
          <t>включён: False; свой процессинг: True; MonoBank, FinLine, LiqPay, WayForPay; processor rates paid by organizer to the processor</t>
        </is>
      </c>
      <c r="L42" s="2" t="inlineStr">
        <is>
          <t>organizer</t>
        </is>
      </c>
      <c r="M42" s="2" t="inlineStr">
        <is>
          <t>free events 0 UAH per ticket, unlimited guests, except hall-scheme events</t>
        </is>
      </c>
      <c r="N42" s="2" t="inlineStr">
        <is>
          <t>12 UAH or 2.5% per seated ticket plus a separate hall-scheme connection fee</t>
        </is>
      </c>
      <c r="O42" s="2" t="inlineStr">
        <is>
          <t>instant: money goes straight to organizer's merchant account</t>
        </is>
      </c>
      <c r="P42" s="2" t="inlineStr"/>
      <c r="Q42" s="2" t="inlineStr">
        <is>
          <t>not stated</t>
        </is>
      </c>
      <c r="R42" s="2" t="inlineStr">
        <is>
          <t>• commission charged per issued ticket for paid events if any ticket exceeds 1 UAH (search snippet)
• branding/white-label ticket and landing design and guest-list ticket generation are additional services (no prices)</t>
        </is>
      </c>
      <c r="S42" s="2" t="inlineStr">
        <is>
          <t>• {"name": "white-label ticket, landing branding, custom integrations", "price": "not published"}</t>
        </is>
      </c>
      <c r="T42" s="2" t="inlineStr">
        <is>
          <t>contact for seated schemes and custom work</t>
        </is>
      </c>
      <c r="U42" s="2" t="inlineStr">
        <is>
          <t>Ukrainian SaaS ticketing for organizers, tourist attractions (Kyiv-Pechersk Lavra, Sophia, 100+ sites), recurring events; 200+ organizers, 1.2M+ tickets</t>
        </is>
      </c>
      <c r="V42" s="2" t="inlineStr">
        <is>
          <t>page</t>
        </is>
      </c>
      <c r="W42" s="2" t="inlineStr">
        <is>
          <t>https://event.net.ua/ (home page price block)</t>
        </is>
      </c>
    </row>
    <row r="43">
      <c r="A43" s="2" t="inlineStr">
        <is>
          <t>СНГ без России, Израиль</t>
        </is>
      </c>
      <c r="B43" s="21" t="inlineStr">
        <is>
          <t>Ukrainian payment-bundled ticket tools: Wayforpay 'Social invoice - sell tickets', Eventmate, Ottry, Social.Invoice Tickets</t>
        </is>
      </c>
      <c r="C43" s="2" t="inlineStr">
        <is>
          <t>https://help.wayforpay.com ; https://eventmate.live ; https://ottry.com/promo/tickets</t>
        </is>
      </c>
      <c r="D43" s="2" t="inlineStr">
        <is>
          <t>Ukraine</t>
        </is>
      </c>
      <c r="E43" s="2" t="inlineStr">
        <is>
          <t>UAH</t>
        </is>
      </c>
      <c r="F43" s="2" t="inlineStr">
        <is>
          <t>direct merchant</t>
        </is>
      </c>
      <c r="G43" s="2" t="inlineStr">
        <is>
          <t>Wayforpay: payouts to organizer's details. Ottry: funds go to a personal account, payout to an account named in the form. Eventmate: not stated.</t>
        </is>
      </c>
      <c r="H43" s="2" t="inlineStr">
        <is>
          <t>percent</t>
        </is>
      </c>
      <c r="I43" s="2" t="inlineStr">
        <is>
          <t>• Wayforpay ticket invoice: 2.0% — ticket page, e-mail QR tickets, scanning via web — as quoted by a third-party review dated 2024-09-30
• Eventmate: 6.0% — app-based event page, scanning in the app, mass messaging — free events are free; third-party review 2024-09-30
• Ottry: 5.0% — full package: QR scanning, Apple/Google Pay, promo codes, real-time data — 5% of ticket sales; third-party review 2024-09-30
• Social.Invoice Tickets (earlier Wayforpay product): 2.5% — ticket sales tool — 2021 headline: organizers pay 2.5% instead of 10%; from search snippet only</t>
        </is>
      </c>
      <c r="J43" s="2" t="inlineStr"/>
      <c r="K43" s="2" t="inlineStr">
        <is>
          <t>включён: None; свой процессинг: None</t>
        </is>
      </c>
      <c r="L43" s="2" t="inlineStr">
        <is>
          <t>organizer</t>
        </is>
      </c>
      <c r="M43" s="2" t="inlineStr">
        <is>
          <t>Eventmate: free events free</t>
        </is>
      </c>
      <c r="N43" s="2" t="inlineStr"/>
      <c r="O43" s="2" t="inlineStr"/>
      <c r="P43" s="2" t="inlineStr"/>
      <c r="Q43" s="2" t="inlineStr">
        <is>
          <t>not stated</t>
        </is>
      </c>
      <c r="R43" s="2" t="inlineStr">
        <is>
          <t>• figures come from a 2024 third-party article, vendors' own pages were not read (Wayforpay help page blocked)</t>
        </is>
      </c>
      <c r="S43" s="2" t="inlineStr"/>
      <c r="T43" s="2" t="inlineStr"/>
      <c r="U43" s="2" t="inlineStr">
        <is>
          <t>small/one-off organizers who want a quick ticket page; fee bundled with a payment account</t>
        </is>
      </c>
      <c r="V43" s="2" t="inlineStr">
        <is>
          <t>third_party</t>
        </is>
      </c>
      <c r="W43" s="2" t="inlineStr">
        <is>
          <t>https://kosht.media/yak-stvoryty-ivent-ta-prodavaty-kvytky-onlayn-ohliad-top-3-servisiv/ (third-party review 2024-09-30)
https://mc.today/uk/organizatori-zahodiv-zaplatyat-2-5-komisiyi-zamist-10-rozpovidayemo-pro-novu-platformu-prodazhu-kvitkiv/ (snippet only, 2021-09-27)</t>
        </is>
      </c>
    </row>
    <row r="44">
      <c r="A44" s="2" t="inlineStr">
        <is>
          <t>СНГ без России, Израиль</t>
        </is>
      </c>
      <c r="B44" s="21" t="inlineStr">
        <is>
          <t>Tickchak (Tickchak Ltd, Jerusalem)</t>
        </is>
      </c>
      <c r="C44" s="2" t="inlineStr">
        <is>
          <t>https://tickchak.co.il</t>
        </is>
      </c>
      <c r="D44" s="2" t="inlineStr">
        <is>
          <t>Israel</t>
        </is>
      </c>
      <c r="E44" s="2" t="inlineStr">
        <is>
          <t>ILS</t>
        </is>
      </c>
      <c r="F44" s="2" t="inlineStr">
        <is>
          <t>оба варианта</t>
        </is>
      </c>
      <c r="G44" s="2" t="inlineStr">
        <is>
          <t>Terms of use section 4: payment either (a) through an external clearing provider where the money is paid to Tickchak, Tickchak deducts its fee and passes the balance to the event manager (collecting), or (b) through the organizer's own clearing terminal/provider connected by the organizer (direct). Which one is the default and whether the fee differs is not published.</t>
        </is>
      </c>
      <c r="H44" s="2" t="inlineStr">
        <is>
          <t>mixed</t>
        </is>
      </c>
      <c r="I44" s="2" t="inlineStr">
        <is>
          <t>• Small events ('אירועים בקטנה'):  — up to 5 events per month (as shown on plan card) — plan card shows a 'free' toggle and 'per month paid annually' wording but no amounts in the scraped text
• Large events, personal attention:  — personal account management — price not public</t>
        </is>
      </c>
      <c r="J44" s="2" t="inlineStr"/>
      <c r="K44" s="2" t="inlineStr">
        <is>
          <t>включён: None; свой процессинг: True; external clearing providers; terms mention fees for clearing, add-ons and promotion according to a price list shown to event managers privately</t>
        </is>
      </c>
      <c r="L44" s="2" t="inlineStr"/>
      <c r="M44" s="2" t="inlineStr"/>
      <c r="N44" s="2" t="inlineStr">
        <is>
          <t>seated events supported (feature list)</t>
        </is>
      </c>
      <c r="O44" s="2" t="inlineStr">
        <is>
          <t>after fee deduction when paid via Tickchak's provider; timing not published</t>
        </is>
      </c>
      <c r="P44" s="2" t="inlineStr">
        <is>
          <t>per Israeli Consumer Protection Law and organizer policy; Tickchak says it is only a technology platform and agent</t>
        </is>
      </c>
      <c r="Q44" s="2" t="inlineStr">
        <is>
          <t>not stated</t>
        </is>
      </c>
      <c r="R44" s="2" t="inlineStr">
        <is>
          <t>• fees/usage charges/add-ons follow a price list presented to event managers separately (personal area, quote, or separate agreement) and may change
• sign-up form asks event size (up to 100 / 1000 / over 1000 tickets) which suggests tiered pricing</t>
        </is>
      </c>
      <c r="S44" s="2" t="inlineStr">
        <is>
          <t>• {"name": "branded SMS, own domain, mailing system, audience import, pixels", "price": "not published"}</t>
        </is>
      </c>
      <c r="T44" s="2" t="inlineStr">
        <is>
          <t>contact *6565 / info@tickchak.co.il</t>
        </is>
      </c>
      <c r="U44" s="2" t="inlineStr">
        <is>
          <t>major Israeli self-serve ticketing for events, festivals, courses, visitor centres, crowdfunding (Givechak); thousands of customers</t>
        </is>
      </c>
      <c r="V44" s="2" t="inlineStr">
        <is>
          <t>page</t>
        </is>
      </c>
      <c r="W44" s="2" t="inlineStr">
        <is>
          <t>https://tickchak.co.il/terms (terms of use section 4 payments)
https://tickchak.co.il/events (plan cards without prices)</t>
        </is>
      </c>
    </row>
    <row r="45">
      <c r="A45" s="2" t="inlineStr">
        <is>
          <t>СНГ без России, Израиль</t>
        </is>
      </c>
      <c r="B45" s="21" t="inlineStr">
        <is>
          <t>Ticks (ticks.co.il) and Eventbuzz (eventbuzz.co.il)</t>
        </is>
      </c>
      <c r="C45" s="2" t="inlineStr">
        <is>
          <t>https://ticks.co.il ; https://www.eventbuzz.co.il</t>
        </is>
      </c>
      <c r="D45" s="2" t="inlineStr">
        <is>
          <t>Israel</t>
        </is>
      </c>
      <c r="E45" s="2" t="inlineStr">
        <is>
          <t>ILS</t>
        </is>
      </c>
      <c r="F45" s="2" t="inlineStr">
        <is>
          <t>direct merchant</t>
        </is>
      </c>
      <c r="G45" s="2" t="inlineStr">
        <is>
          <t>Ticks home page: buyers pay through the producer's own credit-card clearing provider and the system issues digital tax invoices; commission is charged per ticket sold only, no monthly fee, no commitment.</t>
        </is>
      </c>
      <c r="H45" s="2" t="inlineStr">
        <is>
          <t>per_ticket (rate not published)</t>
        </is>
      </c>
      <c r="I45" s="2" t="inlineStr">
        <is>
          <t>• Ticks pay-per-ticket:  — online sales, SMS with digital ticket, scanner app, seat selection, multi-language, stats — rate behind a 'fair price' block and demo/contact, not in text
• Eventbuzz:  — event page free to create, marked seating, promoters network, pixels, SMS/e-mail — price not shown</t>
        </is>
      </c>
      <c r="J45" s="2" t="inlineStr"/>
      <c r="K45" s="2" t="inlineStr">
        <is>
          <t>включён: False; свой процессинг: True; producer's own credit-card provider</t>
        </is>
      </c>
      <c r="L45" s="2" t="inlineStr"/>
      <c r="M45" s="2" t="inlineStr"/>
      <c r="N45" s="2" t="inlineStr">
        <is>
          <t>seat selection supported (Ticks, Eventbuzz)</t>
        </is>
      </c>
      <c r="O45" s="2" t="inlineStr">
        <is>
          <t>direct to producer's provider (Ticks)</t>
        </is>
      </c>
      <c r="P45" s="2" t="inlineStr"/>
      <c r="Q45" s="2" t="inlineStr">
        <is>
          <t>not stated</t>
        </is>
      </c>
      <c r="R45" s="2" t="inlineStr"/>
      <c r="S45" s="2" t="inlineStr"/>
      <c r="T45" s="2" t="inlineStr"/>
      <c r="U45" s="2" t="inlineStr">
        <is>
          <t>Israeli self-serve ticketing: Ticks (events, conferences, theatres, cinemas, seated halls, customers incl. Tel Aviv municipality, Technion, Israel Railways); Eventbuzz (event pages in minutes with seated halls and promoter network)</t>
        </is>
      </c>
      <c r="V45" s="2" t="inlineStr">
        <is>
          <t>page</t>
        </is>
      </c>
      <c r="W45" s="2" t="inlineStr">
        <is>
          <t>https://ticks.co.il/ (home page)
https://www.eventbuzz.co.il/ (home page)</t>
        </is>
      </c>
    </row>
    <row r="46">
      <c r="A46" s="2" t="inlineStr">
        <is>
          <t>Латинская Америка</t>
        </is>
      </c>
      <c r="B46" s="21" t="inlineStr">
        <is>
          <t>Tikzet</t>
        </is>
      </c>
      <c r="C46" s="2" t="inlineStr">
        <is>
          <t>https://www.tikzet.com</t>
        </is>
      </c>
      <c r="D46" s="2" t="inlineStr">
        <is>
          <t>Argentina</t>
        </is>
      </c>
      <c r="E46" s="2" t="inlineStr">
        <is>
          <t>ARS</t>
        </is>
      </c>
      <c r="F46" s="2" t="inlineStr">
        <is>
          <t>direct merchant</t>
        </is>
      </c>
      <c r="G46" s="2" t="inlineStr">
        <is>
          <t>Tikzet says it does not hold funds: buyer pays straight into the organizer's own processor account (Mercado Pago, Nave, Uala, Unicobros, Stripe, PayPal, manual bank transfer/CBU). Tikzet's fee is the prepaid ticket credit bought in advance; each sale deducts one credit.</t>
        </is>
      </c>
      <c r="H46" s="2" t="inlineStr">
        <is>
          <t>prepaid_credits</t>
        </is>
      </c>
      <c r="I46" s="2" t="inlineStr">
        <is>
          <t>• Prepaid ticket bundle (300 tickets): +256 — ARS 256 per ticket at the 300-ticket tier (list ARS 320, '20% off'); calculator runs from 300 to 203,000+ tickets with the unit price falling by volume (only the 300-ticket price was visible). 25 free tickets on sign-up, no credit card. Credits never expire. QR scanner app works offline. — No service fee to buyer ('sin cargo por servicio'): the buyer pays exactly the advertised price. Processor fees are separate and paid by the organizer to the processor.</t>
        </is>
      </c>
      <c r="J46" s="2" t="inlineStr">
        <is>
          <t>• 300 tickets: 256 (срок: no expiry; возврат: None)</t>
        </is>
      </c>
      <c r="K46" s="2" t="inlineStr">
        <is>
          <t>включён: False; свой процессинг: True; Mercado Pago, Nave, Uala, Unicobros, Stripe, PayPal, bank transfer; Processors charge their own rates; Tikzet says Mercado Pago gives 'preferential commissions' (no number).</t>
        </is>
      </c>
      <c r="L46" s="2" t="inlineStr">
        <is>
          <t>organizer</t>
        </is>
      </c>
      <c r="M46" s="2" t="inlineStr">
        <is>
          <t>25 free tickets to start; free events not described.</t>
        </is>
      </c>
      <c r="N46" s="2" t="inlineStr">
        <is>
          <t>Not described.</t>
        </is>
      </c>
      <c r="O46" s="2" t="inlineStr">
        <is>
          <t>Direct to the organizer's processor account: instant (Mercado Pago, Nave, Uala), same day (automatic transfer, Unicobros).</t>
        </is>
      </c>
      <c r="P46" s="2" t="inlineStr">
        <is>
          <t>Organizer manages each purchase and refund.</t>
        </is>
      </c>
      <c r="Q46" s="2" t="inlineStr">
        <is>
          <t>Not stated.</t>
        </is>
      </c>
      <c r="R46" s="2" t="inlineStr">
        <is>
          <t>• Unit price at higher volumes not visible (JS calculator)
• Prepaid credit is consumed per ticket sold - cost is a fixed amount per ticket, independent of ticket price</t>
        </is>
      </c>
      <c r="S46" s="2" t="inlineStr"/>
      <c r="T46" s="2" t="inlineStr">
        <is>
          <t>Sales contact via WhatsApp.</t>
        </is>
      </c>
      <c r="U46" s="2" t="inlineStr">
        <is>
          <t>LatAm self-serve ticketing, nightlife/festivals/theatre; 'no service fee', organizer prepays tickets</t>
        </is>
      </c>
      <c r="V46" s="2" t="inlineStr">
        <is>
          <t>page</t>
        </is>
      </c>
      <c r="W46" s="2" t="inlineStr">
        <is>
          <t>https://www.tikzet.com/pricing (AR pricing calculator)
https://www.tikzet.com/payments/ar (payments page)</t>
        </is>
      </c>
    </row>
    <row r="47">
      <c r="A47" s="2" t="inlineStr">
        <is>
          <t>Латинская Америка</t>
        </is>
      </c>
      <c r="B47" s="21" t="inlineStr">
        <is>
          <t>Tikzet</t>
        </is>
      </c>
      <c r="C47" s="2" t="inlineStr">
        <is>
          <t>https://www.tikzet.com</t>
        </is>
      </c>
      <c r="D47" s="2" t="inlineStr">
        <is>
          <t>Brazil</t>
        </is>
      </c>
      <c r="E47" s="2" t="inlineStr">
        <is>
          <t>BRL</t>
        </is>
      </c>
      <c r="F47" s="2" t="inlineStr">
        <is>
          <t>direct merchant</t>
        </is>
      </c>
      <c r="G47" s="2" t="inlineStr">
        <is>
          <t>Same model as Argentina.</t>
        </is>
      </c>
      <c r="H47" s="2" t="inlineStr">
        <is>
          <t>prepaid_credits</t>
        </is>
      </c>
      <c r="I47" s="2" t="inlineStr">
        <is>
          <t>• Prepaid ticket bundle (300 tickets): +1.4 — R$1.40 per ticket at 300 tickets (list R$1.75), total R$420; 25 free tickets; no expiry. — Own blog claims competitors charge 10-12.5% (Sympla, Shotgun, Blacktag, Zig).</t>
        </is>
      </c>
      <c r="J47" s="2" t="inlineStr">
        <is>
          <t>• 300 tickets: 1.4 (срок: no expiry; возврат: None)</t>
        </is>
      </c>
      <c r="K47" s="2" t="inlineStr">
        <is>
          <t>включён: False; свой процессинг: True; Organizer's own processor.</t>
        </is>
      </c>
      <c r="L47" s="2" t="inlineStr">
        <is>
          <t>organizer</t>
        </is>
      </c>
      <c r="M47" s="2" t="inlineStr">
        <is>
          <t>25 free tickets.</t>
        </is>
      </c>
      <c r="N47" s="2" t="inlineStr"/>
      <c r="O47" s="2" t="inlineStr">
        <is>
          <t>Direct to organizer account.</t>
        </is>
      </c>
      <c r="P47" s="2" t="inlineStr"/>
      <c r="Q47" s="2" t="inlineStr">
        <is>
          <t>Not stated.</t>
        </is>
      </c>
      <c r="R47" s="2" t="inlineStr"/>
      <c r="S47" s="2" t="inlineStr"/>
      <c r="T47" s="2" t="inlineStr"/>
      <c r="U47" s="2" t="inlineStr">
        <is>
          <t>LatAm self-serve ticketing, nightlife/festivals/theatre; 'no service fee', organizer prepays tickets</t>
        </is>
      </c>
      <c r="V47" s="2" t="inlineStr">
        <is>
          <t>page</t>
        </is>
      </c>
      <c r="W47" s="2" t="inlineStr">
        <is>
          <t>https://www.tikzet.com/pricing/br (BR pricing)</t>
        </is>
      </c>
    </row>
    <row r="48">
      <c r="A48" s="2" t="inlineStr">
        <is>
          <t>Латинская Америка</t>
        </is>
      </c>
      <c r="B48" s="21" t="inlineStr">
        <is>
          <t>Tikzet</t>
        </is>
      </c>
      <c r="C48" s="2" t="inlineStr">
        <is>
          <t>https://www.tikzet.com</t>
        </is>
      </c>
      <c r="D48" s="2" t="inlineStr">
        <is>
          <t>Mexico</t>
        </is>
      </c>
      <c r="E48" s="2" t="inlineStr">
        <is>
          <t>MXN</t>
        </is>
      </c>
      <c r="F48" s="2" t="inlineStr">
        <is>
          <t>direct merchant</t>
        </is>
      </c>
      <c r="G48" s="2" t="inlineStr">
        <is>
          <t>Same model.</t>
        </is>
      </c>
      <c r="H48" s="2" t="inlineStr">
        <is>
          <t>prepaid_credits</t>
        </is>
      </c>
      <c r="I48" s="2" t="inlineStr">
        <is>
          <t>• Prepaid ticket bundle (300 tickets): +4.8 — MXN 4.80 per ticket at 300 tickets (list MXN 6.00), total MXN 1,440; 25 free; no expiry.</t>
        </is>
      </c>
      <c r="J48" s="2" t="inlineStr">
        <is>
          <t>• 300 tickets: 4.8 (срок: no expiry; возврат: None)</t>
        </is>
      </c>
      <c r="K48" s="2" t="inlineStr">
        <is>
          <t>включён: False; свой процессинг: True</t>
        </is>
      </c>
      <c r="L48" s="2" t="inlineStr">
        <is>
          <t>organizer</t>
        </is>
      </c>
      <c r="M48" s="2" t="inlineStr">
        <is>
          <t>25 free tickets.</t>
        </is>
      </c>
      <c r="N48" s="2" t="inlineStr"/>
      <c r="O48" s="2" t="inlineStr">
        <is>
          <t>Direct to organizer account.</t>
        </is>
      </c>
      <c r="P48" s="2" t="inlineStr"/>
      <c r="Q48" s="2" t="inlineStr">
        <is>
          <t>Not stated.</t>
        </is>
      </c>
      <c r="R48" s="2" t="inlineStr"/>
      <c r="S48" s="2" t="inlineStr"/>
      <c r="T48" s="2" t="inlineStr"/>
      <c r="U48" s="2" t="inlineStr">
        <is>
          <t>LatAm self-serve ticketing, nightlife/festivals/theatre; 'no service fee', organizer prepays tickets</t>
        </is>
      </c>
      <c r="V48" s="2" t="inlineStr">
        <is>
          <t>page</t>
        </is>
      </c>
      <c r="W48" s="2" t="inlineStr">
        <is>
          <t>https://www.tikzet.com/pricing/mx (MX pricing)</t>
        </is>
      </c>
    </row>
    <row r="49">
      <c r="A49" s="2" t="inlineStr">
        <is>
          <t>Латинская Америка</t>
        </is>
      </c>
      <c r="B49" s="21" t="inlineStr">
        <is>
          <t>Tikzet</t>
        </is>
      </c>
      <c r="C49" s="2" t="inlineStr">
        <is>
          <t>https://www.tikzet.com</t>
        </is>
      </c>
      <c r="D49" s="2" t="inlineStr">
        <is>
          <t>Colombia</t>
        </is>
      </c>
      <c r="E49" s="2" t="inlineStr">
        <is>
          <t>COP</t>
        </is>
      </c>
      <c r="F49" s="2" t="inlineStr">
        <is>
          <t>direct merchant</t>
        </is>
      </c>
      <c r="G49" s="2" t="inlineStr">
        <is>
          <t>Same model.</t>
        </is>
      </c>
      <c r="H49" s="2" t="inlineStr">
        <is>
          <t>prepaid_credits</t>
        </is>
      </c>
      <c r="I49" s="2" t="inlineStr">
        <is>
          <t>• Prepaid ticket bundle (300 tickets): +1040 — COP 1,040 per ticket at 300 tickets (list COP 1,300), total COP 312,000; 25 free.</t>
        </is>
      </c>
      <c r="J49" s="2" t="inlineStr">
        <is>
          <t>• 300 tickets: 1040 (срок: no expiry; возврат: None)</t>
        </is>
      </c>
      <c r="K49" s="2" t="inlineStr">
        <is>
          <t>включён: False; свой процессинг: True</t>
        </is>
      </c>
      <c r="L49" s="2" t="inlineStr">
        <is>
          <t>organizer</t>
        </is>
      </c>
      <c r="M49" s="2" t="inlineStr">
        <is>
          <t>25 free tickets.</t>
        </is>
      </c>
      <c r="N49" s="2" t="inlineStr"/>
      <c r="O49" s="2" t="inlineStr">
        <is>
          <t>Direct to organizer account.</t>
        </is>
      </c>
      <c r="P49" s="2" t="inlineStr"/>
      <c r="Q49" s="2" t="inlineStr">
        <is>
          <t>Not stated.</t>
        </is>
      </c>
      <c r="R49" s="2" t="inlineStr"/>
      <c r="S49" s="2" t="inlineStr"/>
      <c r="T49" s="2" t="inlineStr"/>
      <c r="U49" s="2" t="inlineStr">
        <is>
          <t>LatAm self-serve ticketing, nightlife/festivals/theatre; 'no service fee', organizer prepays tickets</t>
        </is>
      </c>
      <c r="V49" s="2" t="inlineStr">
        <is>
          <t>page</t>
        </is>
      </c>
      <c r="W49" s="2" t="inlineStr">
        <is>
          <t>https://www.tikzet.com/pricing/co (CO pricing)</t>
        </is>
      </c>
    </row>
    <row r="50">
      <c r="A50" s="2" t="inlineStr">
        <is>
          <t>Латинская Америка</t>
        </is>
      </c>
      <c r="B50" s="21" t="inlineStr">
        <is>
          <t>Tikzet</t>
        </is>
      </c>
      <c r="C50" s="2" t="inlineStr">
        <is>
          <t>https://www.tikzet.com</t>
        </is>
      </c>
      <c r="D50" s="2" t="inlineStr">
        <is>
          <t>Chile</t>
        </is>
      </c>
      <c r="E50" s="2" t="inlineStr">
        <is>
          <t>CLP</t>
        </is>
      </c>
      <c r="F50" s="2" t="inlineStr">
        <is>
          <t>direct merchant</t>
        </is>
      </c>
      <c r="G50" s="2" t="inlineStr">
        <is>
          <t>Same model.</t>
        </is>
      </c>
      <c r="H50" s="2" t="inlineStr">
        <is>
          <t>prepaid_credits</t>
        </is>
      </c>
      <c r="I50" s="2" t="inlineStr">
        <is>
          <t>• Prepaid ticket bundle (300 tickets): +229 — CLP 229 per ticket at 300 tickets (list CLP 287), total CLP 68,700; 25 free.</t>
        </is>
      </c>
      <c r="J50" s="2" t="inlineStr">
        <is>
          <t>• 300 tickets: 229 (срок: no expiry; возврат: None)</t>
        </is>
      </c>
      <c r="K50" s="2" t="inlineStr">
        <is>
          <t>включён: False; свой процессинг: True</t>
        </is>
      </c>
      <c r="L50" s="2" t="inlineStr">
        <is>
          <t>organizer</t>
        </is>
      </c>
      <c r="M50" s="2" t="inlineStr">
        <is>
          <t>25 free tickets.</t>
        </is>
      </c>
      <c r="N50" s="2" t="inlineStr"/>
      <c r="O50" s="2" t="inlineStr">
        <is>
          <t>Direct to organizer account.</t>
        </is>
      </c>
      <c r="P50" s="2" t="inlineStr"/>
      <c r="Q50" s="2" t="inlineStr">
        <is>
          <t>Not stated.</t>
        </is>
      </c>
      <c r="R50" s="2" t="inlineStr"/>
      <c r="S50" s="2" t="inlineStr"/>
      <c r="T50" s="2" t="inlineStr"/>
      <c r="U50" s="2" t="inlineStr">
        <is>
          <t>LatAm self-serve ticketing, nightlife/festivals/theatre; 'no service fee', organizer prepays tickets</t>
        </is>
      </c>
      <c r="V50" s="2" t="inlineStr">
        <is>
          <t>page</t>
        </is>
      </c>
      <c r="W50" s="2" t="inlineStr">
        <is>
          <t>https://www.tikzet.com/pricing/cl (CL pricing)</t>
        </is>
      </c>
    </row>
    <row r="51">
      <c r="A51" s="2" t="inlineStr">
        <is>
          <t>Латинская Америка</t>
        </is>
      </c>
      <c r="B51" s="21" t="inlineStr">
        <is>
          <t>Tikzet</t>
        </is>
      </c>
      <c r="C51" s="2" t="inlineStr">
        <is>
          <t>https://www.tikzet.com</t>
        </is>
      </c>
      <c r="D51" s="2" t="inlineStr">
        <is>
          <t>Peru</t>
        </is>
      </c>
      <c r="E51" s="2" t="inlineStr">
        <is>
          <t>PEN</t>
        </is>
      </c>
      <c r="F51" s="2" t="inlineStr">
        <is>
          <t>direct merchant</t>
        </is>
      </c>
      <c r="G51" s="2" t="inlineStr">
        <is>
          <t>Same model.</t>
        </is>
      </c>
      <c r="H51" s="2" t="inlineStr">
        <is>
          <t>prepaid_credits</t>
        </is>
      </c>
      <c r="I51" s="2" t="inlineStr">
        <is>
          <t>• Prepaid ticket bundle (300 tickets): +0.92 — S/0.92 per ticket at 300 tickets (list S/1.15), total S/276; 25 free.</t>
        </is>
      </c>
      <c r="J51" s="2" t="inlineStr">
        <is>
          <t>• 300 tickets: 0.92 (срок: no expiry; возврат: None)</t>
        </is>
      </c>
      <c r="K51" s="2" t="inlineStr">
        <is>
          <t>включён: False; свой процессинг: True</t>
        </is>
      </c>
      <c r="L51" s="2" t="inlineStr">
        <is>
          <t>organizer</t>
        </is>
      </c>
      <c r="M51" s="2" t="inlineStr">
        <is>
          <t>25 free tickets.</t>
        </is>
      </c>
      <c r="N51" s="2" t="inlineStr"/>
      <c r="O51" s="2" t="inlineStr">
        <is>
          <t>Direct to organizer account.</t>
        </is>
      </c>
      <c r="P51" s="2" t="inlineStr"/>
      <c r="Q51" s="2" t="inlineStr">
        <is>
          <t>Not stated.</t>
        </is>
      </c>
      <c r="R51" s="2" t="inlineStr"/>
      <c r="S51" s="2" t="inlineStr"/>
      <c r="T51" s="2" t="inlineStr"/>
      <c r="U51" s="2" t="inlineStr">
        <is>
          <t>LatAm self-serve ticketing, nightlife/festivals/theatre; 'no service fee', organizer prepays tickets</t>
        </is>
      </c>
      <c r="V51" s="2" t="inlineStr">
        <is>
          <t>page</t>
        </is>
      </c>
      <c r="W51" s="2" t="inlineStr">
        <is>
          <t>https://www.tikzet.com/pricing/pe (PE pricing)</t>
        </is>
      </c>
    </row>
    <row r="52">
      <c r="A52" s="2" t="inlineStr">
        <is>
          <t>Латинская Америка</t>
        </is>
      </c>
      <c r="B52" s="21" t="inlineStr">
        <is>
          <t>Tikzet</t>
        </is>
      </c>
      <c r="C52" s="2" t="inlineStr">
        <is>
          <t>https://www.tikzet.com</t>
        </is>
      </c>
      <c r="D52" s="2" t="inlineStr">
        <is>
          <t>Uruguay</t>
        </is>
      </c>
      <c r="E52" s="2" t="inlineStr">
        <is>
          <t>UYU</t>
        </is>
      </c>
      <c r="F52" s="2" t="inlineStr">
        <is>
          <t>direct merchant</t>
        </is>
      </c>
      <c r="G52" s="2" t="inlineStr">
        <is>
          <t>Same model.</t>
        </is>
      </c>
      <c r="H52" s="2" t="inlineStr">
        <is>
          <t>prepaid_credits</t>
        </is>
      </c>
      <c r="I52" s="2" t="inlineStr">
        <is>
          <t>• Prepaid ticket bundle (300 tickets): +10 — UYU 10 per ticket at 300 tickets (list UYU 12.5), total UYU 3,000; 25 free.</t>
        </is>
      </c>
      <c r="J52" s="2" t="inlineStr">
        <is>
          <t>• 300 tickets: 10 (срок: no expiry; возврат: None)</t>
        </is>
      </c>
      <c r="K52" s="2" t="inlineStr">
        <is>
          <t>включён: False; свой процессинг: True</t>
        </is>
      </c>
      <c r="L52" s="2" t="inlineStr">
        <is>
          <t>organizer</t>
        </is>
      </c>
      <c r="M52" s="2" t="inlineStr">
        <is>
          <t>25 free tickets.</t>
        </is>
      </c>
      <c r="N52" s="2" t="inlineStr"/>
      <c r="O52" s="2" t="inlineStr">
        <is>
          <t>Direct to organizer account.</t>
        </is>
      </c>
      <c r="P52" s="2" t="inlineStr"/>
      <c r="Q52" s="2" t="inlineStr">
        <is>
          <t>Not stated.</t>
        </is>
      </c>
      <c r="R52" s="2" t="inlineStr"/>
      <c r="S52" s="2" t="inlineStr"/>
      <c r="T52" s="2" t="inlineStr"/>
      <c r="U52" s="2" t="inlineStr">
        <is>
          <t>LatAm self-serve ticketing, nightlife/festivals/theatre; 'no service fee', organizer prepays tickets</t>
        </is>
      </c>
      <c r="V52" s="2" t="inlineStr">
        <is>
          <t>page</t>
        </is>
      </c>
      <c r="W52" s="2" t="inlineStr">
        <is>
          <t>https://www.tikzet.com/pricing/uy (UY pricing)</t>
        </is>
      </c>
    </row>
    <row r="53">
      <c r="A53" s="2" t="inlineStr">
        <is>
          <t>Латинская Америка</t>
        </is>
      </c>
      <c r="B53" s="21" t="inlineStr">
        <is>
          <t>Tickean</t>
        </is>
      </c>
      <c r="C53" s="2" t="inlineStr">
        <is>
          <t>https://www.tickean.com</t>
        </is>
      </c>
      <c r="D53" s="2" t="inlineStr">
        <is>
          <t>Argentina / Chile / Mexico / Colombia / Peru (same terms on each country site)</t>
        </is>
      </c>
      <c r="E53" s="2" t="inlineStr">
        <is>
          <t>ARS (local currency per site)</t>
        </is>
      </c>
      <c r="F53" s="2" t="inlineStr">
        <is>
          <t>direct merchant</t>
        </is>
      </c>
      <c r="G53" s="2" t="inlineStr">
        <is>
          <t>'Acredita cada venta via el proveedor de pagos' - each sale credited to the organizer's own payment-provider account, no wait for the event end (subject to reserve/chargeback terms of the processor). The platform earns the buyer's service fee.</t>
        </is>
      </c>
      <c r="H53" s="2" t="inlineStr">
        <is>
          <t>free_buyer_pays</t>
        </is>
      </c>
      <c r="I53" s="2" t="inlineStr">
        <is>
          <t>• Standard: 0% +0 — 0% commission to the organizer, no activation, monthly fee or minimum tickets, unlimited QR at no cost, WhatsApp Marketing with 1,000 free messages per month ('promotion with conditions'), live dashboard, QR anti-fraud, QR validation from phone browser. — Buyer pays a 15% service fee on top of the ticket price (ticket 10,000 -&gt; buyer pays 11,500).</t>
        </is>
      </c>
      <c r="J53" s="2" t="inlineStr"/>
      <c r="K53" s="2" t="inlineStr">
        <is>
          <t>включён: False; свой процессинг: True; undisclosed 'proveedor de pagos' (cards, Apple Pay, Google Pay); Processor fees not disclosed.</t>
        </is>
      </c>
      <c r="L53" s="2" t="inlineStr">
        <is>
          <t>buyer</t>
        </is>
      </c>
      <c r="M53" s="2" t="inlineStr">
        <is>
          <t>Not described.</t>
        </is>
      </c>
      <c r="N53" s="2" t="inlineStr">
        <is>
          <t>Not mentioned.</t>
        </is>
      </c>
      <c r="O53" s="2" t="inlineStr">
        <is>
          <t>Instant per sale via payment provider.</t>
        </is>
      </c>
      <c r="P53" s="2" t="inlineStr">
        <is>
          <t>Not read.</t>
        </is>
      </c>
      <c r="Q53" s="2" t="inlineStr">
        <is>
          <t>Not stated.</t>
        </is>
      </c>
      <c r="R53" s="2" t="inlineStr">
        <is>
          <t>• Operated by Tickean Holdings LLC (US)
• Mexico site still shows Argentina contact elements</t>
        </is>
      </c>
      <c r="S53" s="2" t="inlineStr">
        <is>
          <t>• {"name": "WhatsApp Marketing", "price": "1,000 messages/month free, beyond that 'with conditions'"}</t>
        </is>
      </c>
      <c r="T53" s="2" t="inlineStr"/>
      <c r="U53" s="2" t="inlineStr">
        <is>
          <t>LatAm self-serve (Argentina, Chile, Mexico, Colombia, Peru, US), 0% to organizer, buyer pays 15% service fee, WhatsApp QR delivery</t>
        </is>
      </c>
      <c r="V53" s="2" t="inlineStr">
        <is>
          <t>page</t>
        </is>
      </c>
      <c r="W53" s="2" t="inlineStr">
        <is>
          <t>https://www.tickean.com/comisiones-ticketera (pricing/commissions page)
https://www.tickean.com.mx/ (Mexico page)
https://www.tickean.com/alternativa-a-passline (comparison page)</t>
        </is>
      </c>
    </row>
    <row r="54">
      <c r="A54" s="2" t="inlineStr">
        <is>
          <t>Латинская Америка</t>
        </is>
      </c>
      <c r="B54" s="21" t="inlineStr">
        <is>
          <t>Enter.ar</t>
        </is>
      </c>
      <c r="C54" s="2" t="inlineStr">
        <is>
          <t>https://enter.ar</t>
        </is>
      </c>
      <c r="D54" s="2" t="inlineStr">
        <is>
          <t>Argentina</t>
        </is>
      </c>
      <c r="E54" s="2" t="inlineStr">
        <is>
          <t>ARS</t>
        </is>
      </c>
      <c r="F54" s="2" t="inlineStr">
        <is>
          <t>direct merchant</t>
        </is>
      </c>
      <c r="G54" s="2" t="inlineStr">
        <is>
          <t>Mercado Pago Marketplace: the sale lands directly in the organizer's Mercado Pago account at purchase time minus Enter's 2% application fee; Enter does not hold funds.</t>
        </is>
      </c>
      <c r="H54" s="2" t="inlineStr">
        <is>
          <t>percent</t>
        </is>
      </c>
      <c r="I54" s="2" t="inlineStr">
        <is>
          <t>• Standard: 2% — 2% per sale, no contract, no minimums, creating events free. — Mercado Pago's own fee (card, installments) is separate and not stated on the page read.</t>
        </is>
      </c>
      <c r="J54" s="2" t="inlineStr"/>
      <c r="K54" s="2" t="inlineStr">
        <is>
          <t>включён: False; свой процессинг: True; Mercado Pago; Mercado Pago fees separate.</t>
        </is>
      </c>
      <c r="L54" s="2" t="inlineStr">
        <is>
          <t>organizer</t>
        </is>
      </c>
      <c r="M54" s="2" t="inlineStr"/>
      <c r="N54" s="2" t="inlineStr">
        <is>
          <t>Not mentioned.</t>
        </is>
      </c>
      <c r="O54" s="2" t="inlineStr">
        <is>
          <t>At the moment of purchase, into the organizer's Mercado Pago account.</t>
        </is>
      </c>
      <c r="P54" s="2" t="inlineStr"/>
      <c r="Q54" s="2" t="inlineStr">
        <is>
          <t>Not stated.</t>
        </is>
      </c>
      <c r="R54" s="2" t="inlineStr">
        <is>
          <t>• Page is a vendor comparison versus Passline</t>
        </is>
      </c>
      <c r="S54" s="2" t="inlineStr"/>
      <c r="T54" s="2" t="inlineStr"/>
      <c r="U54" s="2" t="inlineStr">
        <is>
          <t>Argentine producers, Mercado Pago marketplace, flat 2%</t>
        </is>
      </c>
      <c r="V54" s="2" t="inlineStr">
        <is>
          <t>page</t>
        </is>
      </c>
      <c r="W54" s="2" t="inlineStr">
        <is>
          <t>https://enter.ar/vs/passline (vendor page)</t>
        </is>
      </c>
    </row>
    <row r="55">
      <c r="A55" s="2" t="inlineStr">
        <is>
          <t>Латинская Америка</t>
        </is>
      </c>
      <c r="B55" s="21" t="inlineStr">
        <is>
          <t>MaunaOne</t>
        </is>
      </c>
      <c r="C55" s="2" t="inlineStr">
        <is>
          <t>https://maunaone.com</t>
        </is>
      </c>
      <c r="D55" s="2" t="inlineStr">
        <is>
          <t>Mexico</t>
        </is>
      </c>
      <c r="E55" s="2" t="inlineStr">
        <is>
          <t>MXN</t>
        </is>
      </c>
      <c r="F55" s="2" t="inlineStr">
        <is>
          <t>direct merchant</t>
        </is>
      </c>
      <c r="G55" s="2" t="inlineStr">
        <is>
          <t>Money goes straight into the organizer's own Stripe account via Stripe Connect; MaunaOne does not touch funds. Fee taken as an application fee per online sale plus (Pro) monthly subscription.</t>
        </is>
      </c>
      <c r="H55" s="2" t="inlineStr">
        <is>
          <t>mixed</t>
        </is>
      </c>
      <c r="I55" s="2" t="inlineStr">
        <is>
          <t>• Inicia: 5% — Basic sales, calendar, QR check-in, CRM. 5% + IVA on online sales. Self-service support. Cash/transfer sales at POS not included.
• Pro: 2% 899/мес 7548/год — 2% + IVA online, no fee on cash/transfer at POS, priority support, advances, private groups, iframe, resellers, own branding, Meta and Google Ads pixels. — MXN 629/month with annual contract (MXN 7,548/year). 20% promo on monthly (MXN 719 + IVA) if bought before 2026-10-31. 'Launch session' MXN 2,500 + IVA, included in Pro annual.
• A la medida:  — Reduced by volume, integrations, consulting. — Quote.</t>
        </is>
      </c>
      <c r="J55" s="2" t="inlineStr"/>
      <c r="K55" s="2" t="inlineStr">
        <is>
          <t>включён: False; свой процессинг: True; Stripe; Stripe Mexico 3.6% + MXN 3 + IVA per domestic card payment, deducted from the organizer's account by Stripe.</t>
        </is>
      </c>
      <c r="L55" s="2" t="inlineStr">
        <is>
          <t>configurable</t>
        </is>
      </c>
      <c r="M55" s="2" t="inlineStr">
        <is>
          <t>Not mentioned.</t>
        </is>
      </c>
      <c r="N55" s="2" t="inlineStr">
        <is>
          <t>Not mentioned (capacity calendar only).</t>
        </is>
      </c>
      <c r="O55" s="2" t="inlineStr">
        <is>
          <t>Stripe's schedule to the organizer's bank.</t>
        </is>
      </c>
      <c r="P55" s="2" t="inlineStr"/>
      <c r="Q55" s="2" t="inlineStr">
        <is>
          <t>Prices exclude IVA (fee quoted '+ IVA').</t>
        </is>
      </c>
      <c r="R55" s="2" t="inlineStr">
        <is>
          <t>• Fee can be passed to buyer as service charge (5% + IVA or 2% + IVA)</t>
        </is>
      </c>
      <c r="S55" s="2" t="inlineStr">
        <is>
          <t>• {"name": "Launch session", "price": "MXN 2,500 + IVA"}</t>
        </is>
      </c>
      <c r="T55" s="2" t="inlineStr">
        <is>
          <t>Custom plan by quote.</t>
        </is>
      </c>
      <c r="U55" s="2" t="inlineStr">
        <is>
          <t>Mexican experiences/events SaaS on Stripe Connect</t>
        </is>
      </c>
      <c r="V55" s="2" t="inlineStr">
        <is>
          <t>page</t>
        </is>
      </c>
      <c r="W55" s="2" t="inlineStr">
        <is>
          <t>https://maunaone.com/pricing (pricing page)
https://maunaone.com/blog/boletia-vs-passline-vs-maunaone (own comparison blog)</t>
        </is>
      </c>
    </row>
    <row r="56">
      <c r="A56" s="2" t="inlineStr">
        <is>
          <t>Латинская Америка</t>
        </is>
      </c>
      <c r="B56" s="21" t="inlineStr">
        <is>
          <t>BoletaDirecta</t>
        </is>
      </c>
      <c r="C56" s="2" t="inlineStr">
        <is>
          <t>https://www.boletadirecta.com</t>
        </is>
      </c>
      <c r="D56" s="2" t="inlineStr">
        <is>
          <t>Colombia</t>
        </is>
      </c>
      <c r="E56" s="2" t="inlineStr">
        <is>
          <t>COP</t>
        </is>
      </c>
      <c r="F56" s="2" t="inlineStr">
        <is>
          <t>оба варианта</t>
        </is>
      </c>
      <c r="G56" s="2" t="inlineStr">
        <is>
          <t>'Recaudo gestionado' (BoletaDirecta collects, pays net 100% to any Colombian bank within 24 business hours after the event ends) vs 'Recaudo directo' (organizer's own payment gateway). Gateways cited: Wompi, Bold, Bancolombia, PSE. Price difference between the two modes not published.</t>
        </is>
      </c>
      <c r="H56" s="2" t="inlineStr">
        <is>
          <t>percent_plus_fixed</t>
        </is>
      </c>
      <c r="I56" s="2" t="inlineStr">
        <is>
          <t>• Direct (calculator): 3% +2000 — Calculator on its own site shows '3% + COP 2,000 per ticket (Directo)'. The same page estimates TuBoleta ~10% + COP 3,000 and TicketExpress ~8% + COP 2,500 per ticket (marked 'est.', vendor assumptions). — The calculator's worked totals do not match its own formulas, so treat the numbers as indicative only.</t>
        </is>
      </c>
      <c r="J56" s="2" t="inlineStr"/>
      <c r="K56" s="2" t="inlineStr">
        <is>
          <t>включён: None; свой процессинг: True; Wompi, Bold, Bancolombia, PSE, Nequi, Daviplata</t>
        </is>
      </c>
      <c r="L56" s="2" t="inlineStr"/>
      <c r="M56" s="2" t="inlineStr"/>
      <c r="N56" s="2" t="inlineStr"/>
      <c r="O56" s="2" t="inlineStr">
        <is>
          <t>Managed collection: 24 business hours after the event; no '30 days waiting'.</t>
        </is>
      </c>
      <c r="P56" s="2" t="inlineStr"/>
      <c r="Q56" s="2" t="inlineStr">
        <is>
          <t>Not stated.</t>
        </is>
      </c>
      <c r="R56" s="2" t="inlineStr">
        <is>
          <t>• Organizer approval within 24 business hours
• Direct-collection plan details at /partners not read</t>
        </is>
      </c>
      <c r="S56" s="2" t="inlineStr"/>
      <c r="T56" s="2" t="inlineStr">
        <is>
          <t>WhatsApp/commercial contact.</t>
        </is>
      </c>
      <c r="U56" s="2" t="inlineStr">
        <is>
          <t>Colombian organizers, two modes: managed collection or direct to organizer's own gateway</t>
        </is>
      </c>
      <c r="V56" s="2" t="inlineStr">
        <is>
          <t>page</t>
        </is>
      </c>
      <c r="W56" s="2" t="inlineStr">
        <is>
          <t>https://www.boletadirecta.com/ (home page)
https://www.boletadirecta.com/calculadora (commission calculator)</t>
        </is>
      </c>
    </row>
    <row r="57">
      <c r="A57" s="2" t="inlineStr">
        <is>
          <t>Латинская Америка</t>
        </is>
      </c>
      <c r="B57" s="21" t="inlineStr">
        <is>
          <t>Paraguay and Bolivia platforms (Fanz PY, RedTicket PY, Ticket Go BO, TicketBO)</t>
        </is>
      </c>
      <c r="C57" s="2" t="inlineStr">
        <is>
          <t>https://fanz.com.py</t>
        </is>
      </c>
      <c r="D57" s="2" t="inlineStr">
        <is>
          <t>Bolivia</t>
        </is>
      </c>
      <c r="E57" s="2" t="inlineStr">
        <is>
          <t>BOB</t>
        </is>
      </c>
      <c r="F57" s="2" t="inlineStr">
        <is>
          <t>direct merchant</t>
        </is>
      </c>
      <c r="G57" s="2" t="inlineStr">
        <is>
          <t>Ticket Go terms are contradictory: the terms say ticket payment goes straight to the organizer's account, but its refund policy says Ticket Go receives and retains the payment and then pays the organizer minus its agreed commission. TicketBO says it takes no financial responsibility for the organizer's funds (suggests direct) but does not confirm.</t>
        </is>
      </c>
      <c r="H57" s="2" t="inlineStr">
        <is>
          <t>flat_per_ticket</t>
        </is>
      </c>
      <c r="I57" s="2" t="inlineStr">
        <is>
          <t>• Ticket Go service fee: +10 — Price shown to buyer includes a service commission of Bs 10 per ticket; rotating anti-fraud QR, ID-card binding, offline validation. — Organizer commission 'agreed' but not published. TicketBO (ticket.bo) publishes no fees; QR bank payment.</t>
        </is>
      </c>
      <c r="J57" s="2" t="inlineStr"/>
      <c r="K57" s="2" t="inlineStr">
        <is>
          <t>включён: None; свой процессинг: None; bank QR</t>
        </is>
      </c>
      <c r="L57" s="2" t="inlineStr">
        <is>
          <t>buyer</t>
        </is>
      </c>
      <c r="M57" s="2" t="inlineStr"/>
      <c r="N57" s="2" t="inlineStr"/>
      <c r="O57" s="2" t="inlineStr"/>
      <c r="P57" s="2" t="inlineStr">
        <is>
          <t>Ticket Go: organizer decides buyer refunds; TicketBO: organizer refunds within 30 days on cancellation.</t>
        </is>
      </c>
      <c r="Q57" s="2" t="inlineStr">
        <is>
          <t>Not stated.</t>
        </is>
      </c>
      <c r="R57" s="2" t="inlineStr">
        <is>
          <t>• Very small platforms; terms dated July 2026</t>
        </is>
      </c>
      <c r="S57" s="2" t="inlineStr"/>
      <c r="T57" s="2" t="inlineStr"/>
      <c r="U57" s="2" t="inlineStr">
        <is>
          <t>Smaller national platforms; one main self-serve per country as far as found</t>
        </is>
      </c>
      <c r="V57" s="2" t="inlineStr">
        <is>
          <t>page</t>
        </is>
      </c>
      <c r="W57" s="2" t="inlineStr">
        <is>
          <t>https://ticketgobo.com/legal (terms)
https://ticket.bo/terminos (terms)</t>
        </is>
      </c>
    </row>
    <row r="58">
      <c r="A58" s="2" t="inlineStr">
        <is>
          <t>Азия, Океания, Ближний Восток</t>
        </is>
      </c>
      <c r="B58" s="21" t="inlineStr">
        <is>
          <t>TryBooking</t>
        </is>
      </c>
      <c r="C58" s="2" t="inlineStr">
        <is>
          <t>https://www.trybooking.com</t>
        </is>
      </c>
      <c r="D58" s="2" t="inlineStr">
        <is>
          <t>Australia</t>
        </is>
      </c>
      <c r="E58" s="2" t="inlineStr">
        <is>
          <t>AUD</t>
        </is>
      </c>
      <c r="F58" s="2" t="inlineStr">
        <is>
          <t>оба варианта</t>
        </is>
      </c>
      <c r="G58" s="2" t="inlineStr">
        <is>
          <t>Default: TryBooking collects the card payment and pays the organiser after the event (processing 2.5% included in its fee). Alternative: organiser connects own Stripe account, money settles straight into it; TryBooking then charges 1% processing + A$0.50 per ticket and Stripe bills its own fee (quoted 1.7% + A$0.30) on top.</t>
        </is>
      </c>
      <c r="H58" s="2" t="inlineStr">
        <is>
          <t>percent_plus_fixed</t>
        </is>
      </c>
      <c r="I58" s="2" t="inlineStr">
        <is>
          <t>• Paid tickets (standard): 2.5% +0.5 — All features: unlimited ticket types, custom seating plans, box office app, scanning, white-label, unlimited team members, API, Xero/Stripe/Salesforce integrations — A$0.50 per ticket + 2.5% processing
• Low-cost tickets (under A$5): 2.5% +0.15 — same — A$0.15 + 2.5% for tickets priced under A$5
• Free tickets: 0% +0 — same — no platform fee
• Own Stripe account: 1.0% +0.5 — same — 1% processing + A$0.50/ticket, plus Stripe's own fees paid direct to Stripe</t>
        </is>
      </c>
      <c r="J58" s="2" t="inlineStr"/>
      <c r="K58" s="2" t="inlineStr">
        <is>
          <t>включён: True; свой процессинг: True; cards (Visa, Mastercard, Amex), Stripe (optional); 2.5% processing in standard fee; with own Stripe 1% + Stripe's 1.7% + A$0.30; доп. сбор: 1% when organiser uses own Stripe</t>
        </is>
      </c>
      <c r="L58" s="2" t="inlineStr">
        <is>
          <t>configurable</t>
        </is>
      </c>
      <c r="M58" s="2" t="inlineStr">
        <is>
          <t>free events and free tickets: A$0 platform fee</t>
        </is>
      </c>
      <c r="N58" s="2" t="inlineStr">
        <is>
          <t>custom seating plans included at no surcharge</t>
        </is>
      </c>
      <c r="O58" s="2" t="inlineStr">
        <is>
          <t>after the event to nominated bank account, schedulable, no transfer fee</t>
        </is>
      </c>
      <c r="P58" s="2" t="inlineStr">
        <is>
          <t>not stated on pricing page</t>
        </is>
      </c>
      <c r="Q58" s="2" t="inlineStr">
        <is>
          <t>all fees include GST (10%); GST-registered organisers can claim it back</t>
        </is>
      </c>
      <c r="R58" s="2" t="inlineStr">
        <is>
          <t>• no setup, monthly or lock-in; fees can be passed to buyers with one toggle (ticket fee and processing fee separately)
• page claims 100 x A$30 tickets: total fees A$125 vs Eventbrite A$307.45 and Humanitix A$240.90 (TryBooking's own comparison, ex-GST caveats)</t>
        </is>
      </c>
      <c r="S58" s="2" t="inlineStr"/>
      <c r="T58" s="2" t="inlineStr">
        <is>
          <t>sales enquiry form for large events</t>
        </is>
      </c>
      <c r="U58" s="2" t="inlineStr">
        <is>
          <t>community / charity / schools / theatre / council organisers in AU, NZ, UK; all features for every organiser, no tiers</t>
        </is>
      </c>
      <c r="V58" s="2" t="inlineStr">
        <is>
          <t>page</t>
        </is>
      </c>
      <c r="W58" s="2" t="inlineStr">
        <is>
          <t>https://www.trybooking.com/pricing (AU pricing page and FAQ)</t>
        </is>
      </c>
    </row>
    <row r="59">
      <c r="A59" s="2" t="inlineStr">
        <is>
          <t>Азия, Океания, Ближний Восток</t>
        </is>
      </c>
      <c r="B59" s="21" t="inlineStr">
        <is>
          <t>TryBooking</t>
        </is>
      </c>
      <c r="C59" s="2" t="inlineStr">
        <is>
          <t>https://www.trybooking.com</t>
        </is>
      </c>
      <c r="D59" s="2" t="inlineStr">
        <is>
          <t>New Zealand</t>
        </is>
      </c>
      <c r="E59" s="2" t="inlineStr">
        <is>
          <t>NZD</t>
        </is>
      </c>
      <c r="F59" s="2" t="inlineStr">
        <is>
          <t>оба варианта</t>
        </is>
      </c>
      <c r="G59" s="2" t="inlineStr">
        <is>
          <t>Same structure as AU: platform collects and pays out after event by default; own Stripe account possible (1% + NZ$0.50 per ticket + Stripe fees).</t>
        </is>
      </c>
      <c r="H59" s="2" t="inlineStr">
        <is>
          <t>percent_plus_fixed</t>
        </is>
      </c>
      <c r="I59" s="2" t="inlineStr">
        <is>
          <t>• Paid tickets: 2.5% +0.5 — full platform, no tiers — no separate low-price band shown on NZ page
• Free tickets: 0% +0 — same</t>
        </is>
      </c>
      <c r="J59" s="2" t="inlineStr"/>
      <c r="K59" s="2" t="inlineStr">
        <is>
          <t>включён: True; свой процессинг: True; cards, Stripe (optional); 2.5% included; own Stripe 1% + NZ$0.50/ticket + Stripe's 1.7% + $0.30; доп. сбор: 1% with own Stripe</t>
        </is>
      </c>
      <c r="L59" s="2" t="inlineStr">
        <is>
          <t>configurable</t>
        </is>
      </c>
      <c r="M59" s="2" t="inlineStr">
        <is>
          <t>free</t>
        </is>
      </c>
      <c r="N59" s="2" t="inlineStr">
        <is>
          <t>custom seating plans included</t>
        </is>
      </c>
      <c r="O59" s="2" t="inlineStr">
        <is>
          <t>after the event, no transfer fee</t>
        </is>
      </c>
      <c r="P59" s="2" t="inlineStr">
        <is>
          <t>not stated</t>
        </is>
      </c>
      <c r="Q59" s="2" t="inlineStr">
        <is>
          <t>fees include GST (15%)</t>
        </is>
      </c>
      <c r="R59" s="2" t="inlineStr">
        <is>
          <t>• page shows Eventbrite NZ as 4.2% + NZ$0.55 + 2.4% processing and Humanitix 5% + NZ$0.49 (competitor figures as quoted by TryBooking)</t>
        </is>
      </c>
      <c r="S59" s="2" t="inlineStr"/>
      <c r="T59" s="2" t="inlineStr">
        <is>
          <t>sales enquiry</t>
        </is>
      </c>
      <c r="U59" s="2" t="inlineStr">
        <is>
          <t>community / charity / schools / theatre / council organisers in AU, NZ, UK; all features for every organiser, no tiers</t>
        </is>
      </c>
      <c r="V59" s="2" t="inlineStr">
        <is>
          <t>page</t>
        </is>
      </c>
      <c r="W59" s="2" t="inlineStr">
        <is>
          <t>https://www.trybooking.com/nz/pricing (NZ pricing page)</t>
        </is>
      </c>
    </row>
    <row r="60">
      <c r="A60" s="2" t="inlineStr">
        <is>
          <t>Азия, Океания, Ближний Восток</t>
        </is>
      </c>
      <c r="B60" s="21" t="inlineStr">
        <is>
          <t>TryBooking</t>
        </is>
      </c>
      <c r="C60" s="2" t="inlineStr">
        <is>
          <t>https://www.trybooking.com</t>
        </is>
      </c>
      <c r="D60" s="2" t="inlineStr">
        <is>
          <t>United Kingdom</t>
        </is>
      </c>
      <c r="E60" s="2" t="inlineStr">
        <is>
          <t>GBP</t>
        </is>
      </c>
      <c r="F60" s="2" t="inlineStr">
        <is>
          <t>оба варианта</t>
        </is>
      </c>
      <c r="G60" s="2" t="inlineStr">
        <is>
          <t>Two explicit options. 'We handle payments': TryBooking collects, pays out after event. 'You handle payments': connect own Stripe, money lands in organiser's Stripe from first sale, 'we never hold it'; TryBooking charges flat 75p per ticket.</t>
        </is>
      </c>
      <c r="H60" s="2" t="inlineStr">
        <is>
          <t>percent_plus_fixed</t>
        </is>
      </c>
      <c r="I60" s="2" t="inlineStr">
        <is>
          <t>• We handle payments: 5.0% +0.2 — full platform; VAT and card processing included — 5% processing + 20p per ticket
• You handle payments (own Stripe): 0% +0.75 — full platform — plus Stripe's own fees (quoted 1.5% + 20p) paid direct
• Free tickets: 0% +0 — full platform</t>
        </is>
      </c>
      <c r="J60" s="2" t="inlineStr"/>
      <c r="K60" s="2" t="inlineStr">
        <is>
          <t>включён: True; свой процессинг: True; Stripe; Stripe UK 1.5% + 20p quoted</t>
        </is>
      </c>
      <c r="L60" s="2" t="inlineStr">
        <is>
          <t>configurable</t>
        </is>
      </c>
      <c r="M60" s="2" t="inlineStr">
        <is>
          <t>free</t>
        </is>
      </c>
      <c r="N60" s="2" t="inlineStr">
        <is>
          <t>custom seating plans included</t>
        </is>
      </c>
      <c r="O60" s="2" t="inlineStr">
        <is>
          <t>after the event (platform-handled option); instant into own Stripe (own option)</t>
        </is>
      </c>
      <c r="P60" s="2" t="inlineStr">
        <is>
          <t>not stated</t>
        </is>
      </c>
      <c r="Q60" s="2" t="inlineStr">
        <is>
          <t>VAT included in all fees</t>
        </is>
      </c>
      <c r="R60" s="2" t="inlineStr">
        <is>
          <t>• fees can be passed to buyers only on the 'we handle payments' option
• no subscriptions, no lock-in</t>
        </is>
      </c>
      <c r="S60" s="2" t="inlineStr"/>
      <c r="T60" s="2" t="inlineStr">
        <is>
          <t>sales enquiry</t>
        </is>
      </c>
      <c r="U60" s="2" t="inlineStr">
        <is>
          <t>community / charity / schools / theatre / council organisers in AU, NZ, UK; all features for every organiser, no tiers</t>
        </is>
      </c>
      <c r="V60" s="2" t="inlineStr">
        <is>
          <t>page</t>
        </is>
      </c>
      <c r="W60" s="2" t="inlineStr">
        <is>
          <t>https://www.trybooking.com/uk/pricing (UK pricing page)</t>
        </is>
      </c>
    </row>
    <row r="61">
      <c r="A61" s="2" t="inlineStr">
        <is>
          <t>Азия, Океания, Ближний Восток</t>
        </is>
      </c>
      <c r="B61" s="21" t="inlineStr">
        <is>
          <t>Ticketebo</t>
        </is>
      </c>
      <c r="C61" s="2" t="inlineStr">
        <is>
          <t>https://www.ticketebo.com.au</t>
        </is>
      </c>
      <c r="D61" s="2" t="inlineStr">
        <is>
          <t>Australia</t>
        </is>
      </c>
      <c r="E61" s="2" t="inlineStr">
        <is>
          <t>AUD</t>
        </is>
      </c>
      <c r="F61" s="2" t="inlineStr">
        <is>
          <t>оба варианта</t>
        </is>
      </c>
      <c r="G61" s="2" t="inlineStr">
        <is>
          <t>Default: Ticketebo collects (eWAY gateway) and pays net funds the business day after organiser approves final sales report (Monday after event). Optional Stripe Payments integration lets organiser access funds during the campaign (own Stripe account, extra Stripe fees; Ticketebo gives a 'Stripe credit' of 20% of its booking fee).</t>
        </is>
      </c>
      <c r="H61" s="2" t="inlineStr">
        <is>
          <t>percent</t>
        </is>
      </c>
      <c r="I61" s="2" t="inlineStr">
        <is>
          <t>• Booking fee: 4.0% — online + gate ticketing, scanning app, expert support, card fees covered — 4% of ORDER value, minimum A$1.20 per order (not per ticket); typically paid by patron; organiser can absorb</t>
        </is>
      </c>
      <c r="J61" s="2" t="inlineStr"/>
      <c r="K61" s="2" t="inlineStr">
        <is>
          <t>включён: True; свой процессинг: True; eWAY, Stripe (optional); no extra card surcharge; Stripe fees extra if Stripe route</t>
        </is>
      </c>
      <c r="L61" s="2" t="inlineStr">
        <is>
          <t>buyer</t>
        </is>
      </c>
      <c r="M61" s="2" t="inlineStr">
        <is>
          <t>not stated on AU page (UK page: free events free)</t>
        </is>
      </c>
      <c r="N61" s="2" t="inlineStr">
        <is>
          <t>not stated</t>
        </is>
      </c>
      <c r="O61" s="2" t="inlineStr">
        <is>
          <t>end of event, next business day after approval; earlier via Stripe</t>
        </is>
      </c>
      <c r="P61" s="2" t="inlineStr">
        <is>
          <t>Oztix-style booking fee non-refund is not stated here</t>
        </is>
      </c>
      <c r="Q61" s="2" t="inlineStr">
        <is>
          <t>4% is GST-inclusive</t>
        </is>
      </c>
      <c r="R61" s="2" t="inlineStr">
        <is>
          <t>• registered charities: Ticketebo donates 10% of its booking fee back
• premium services (box office staff, device hire, contact centre, printed tickets, festival layer) are extra and priced on request</t>
        </is>
      </c>
      <c r="S61" s="2" t="inlineStr">
        <is>
          <t>• {"name": "entry staff, device hire, printed tickets, contact centre", "price": "contact sales"}</t>
        </is>
      </c>
      <c r="T61" s="2" t="inlineStr">
        <is>
          <t>premium services by quote</t>
        </is>
      </c>
      <c r="U61" s="2" t="inlineStr">
        <is>
          <t>managed (not DIY) ticketing for AU/UK organisers incl. charities, expos; booking fee charged per ORDER not per ticket</t>
        </is>
      </c>
      <c r="V61" s="2" t="inlineStr">
        <is>
          <t>page</t>
        </is>
      </c>
      <c r="W61" s="2" t="inlineStr">
        <is>
          <t>https://www.ticketebo.com.au/pricing (AU pricing page)</t>
        </is>
      </c>
    </row>
    <row r="62">
      <c r="A62" s="2" t="inlineStr">
        <is>
          <t>Азия, Океания, Ближний Восток</t>
        </is>
      </c>
      <c r="B62" s="21" t="inlineStr">
        <is>
          <t>Ticketebo</t>
        </is>
      </c>
      <c r="C62" s="2" t="inlineStr">
        <is>
          <t>https://www.ticketebo.com.au</t>
        </is>
      </c>
      <c r="D62" s="2" t="inlineStr">
        <is>
          <t>United Kingdom</t>
        </is>
      </c>
      <c r="E62" s="2" t="inlineStr">
        <is>
          <t>GBP</t>
        </is>
      </c>
      <c r="F62" s="2" t="inlineStr">
        <is>
          <t>оба варианта</t>
        </is>
      </c>
      <c r="G62" s="2" t="inlineStr">
        <is>
          <t>Same as AU: collects and pays after event; Stripe route possible.</t>
        </is>
      </c>
      <c r="H62" s="2" t="inlineStr">
        <is>
          <t>percent</t>
        </is>
      </c>
      <c r="I62" s="2" t="inlineStr">
        <is>
          <t>• Booking fee: 4.95% — card fees covered — 4.95% of total transaction value, minimum 75p per transaction; no per-ticket fee</t>
        </is>
      </c>
      <c r="J62" s="2" t="inlineStr"/>
      <c r="K62" s="2" t="inlineStr">
        <is>
          <t>включён: True; свой процессинг: True; not named, Stripe (optional); none extra</t>
        </is>
      </c>
      <c r="L62" s="2" t="inlineStr">
        <is>
          <t>buyer</t>
        </is>
      </c>
      <c r="M62" s="2" t="inlineStr">
        <is>
          <t>free events free for organiser and consumer</t>
        </is>
      </c>
      <c r="N62" s="2" t="inlineStr">
        <is>
          <t>not stated</t>
        </is>
      </c>
      <c r="O62" s="2" t="inlineStr">
        <is>
          <t>after event; Monday sales report, paid next business day after approval</t>
        </is>
      </c>
      <c r="P62" s="2" t="inlineStr">
        <is>
          <t>not stated</t>
        </is>
      </c>
      <c r="Q62" s="2" t="inlineStr">
        <is>
          <t>4.95% and 75p are VAT-inclusive</t>
        </is>
      </c>
      <c r="R62" s="2" t="inlineStr">
        <is>
          <t>• no registration, set-up or monthly fees
• premium services extra</t>
        </is>
      </c>
      <c r="S62" s="2" t="inlineStr"/>
      <c r="T62" s="2" t="inlineStr">
        <is>
          <t>contact for premium services</t>
        </is>
      </c>
      <c r="U62" s="2" t="inlineStr">
        <is>
          <t>managed (not DIY) ticketing for AU/UK organisers incl. charities, expos; booking fee charged per ORDER not per ticket</t>
        </is>
      </c>
      <c r="V62" s="2" t="inlineStr">
        <is>
          <t>page</t>
        </is>
      </c>
      <c r="W62" s="2" t="inlineStr">
        <is>
          <t>https://www.ticketebo.co.uk/pricing (UK pricing page)</t>
        </is>
      </c>
    </row>
    <row r="63">
      <c r="A63" s="2" t="inlineStr">
        <is>
          <t>Азия, Океания, Ближний Восток</t>
        </is>
      </c>
      <c r="B63" s="21" t="inlineStr">
        <is>
          <t>EventBookings (Hong Kong variant)</t>
        </is>
      </c>
      <c r="C63" s="2" t="inlineStr">
        <is>
          <t>https://www.eventbookings.com</t>
        </is>
      </c>
      <c r="D63" s="2" t="inlineStr">
        <is>
          <t>Hong Kong</t>
        </is>
      </c>
      <c r="E63" s="2" t="inlineStr">
        <is>
          <t>HKD</t>
        </is>
      </c>
      <c r="F63" s="2" t="inlineStr">
        <is>
          <t>оба варианта</t>
        </is>
      </c>
      <c r="G63" s="2" t="inlineStr">
        <is>
          <t>Organiser connects Stripe, PayPal or PayFast (help articles listed) so money goes to organiser's own account; fee mechanics (invoice vs split) not read.</t>
        </is>
      </c>
      <c r="H63" s="2" t="inlineStr">
        <is>
          <t>percent_plus_fixed</t>
        </is>
      </c>
      <c r="I63" s="2" t="inlineStr">
        <is>
          <t>• Service charge per ticket (HK): 1.0% +1.0 — Basic subscription: first 300 tickets free, then flat HK$1.00 per ticket with no percentage — HK$1.0 + 1.0% per ticket sold; the default (non-HK) page shows 30 cents + 2.5%
• Lite Org: 190/мес 1814/год — 700 free tickets/event allocation; higher limits — currency shown as '$' on the HK page, unclear whether HKD
• Standard Org: 379/мес 3663/год — 1,000 free tickets/event
• Flexible Org: 768/мес 7351/год — 1,500 free tickets/event</t>
        </is>
      </c>
      <c r="J63" s="2" t="inlineStr"/>
      <c r="K63" s="2" t="inlineStr">
        <is>
          <t>включён: False; свой процессинг: True; Stripe, PayPal, PayFast</t>
        </is>
      </c>
      <c r="L63" s="2" t="inlineStr">
        <is>
          <t>configurable</t>
        </is>
      </c>
      <c r="M63" s="2" t="inlineStr">
        <is>
          <t>free allocation by plan: Basic 300, Lite 700, Standard 1000, Flexible 1500 tickets; after that HK$1 flat per ticket; free/100%-discount tickets cost HK$1.00</t>
        </is>
      </c>
      <c r="N63" s="2" t="inlineStr">
        <is>
          <t>not stated</t>
        </is>
      </c>
      <c r="O63" s="2" t="inlineStr">
        <is>
          <t>not read</t>
        </is>
      </c>
      <c r="P63" s="2" t="inlineStr">
        <is>
          <t>not read</t>
        </is>
      </c>
      <c r="Q63" s="2" t="inlineStr"/>
      <c r="R63" s="2" t="inlineStr">
        <is>
          <t>• full fee also applies to complimentary and at-venue tickets
• Premium event one-off upgrades: Lite $62, Standard $128, Flexible $251
• add-ons: My Team/Survey/API $263/mo each, Event Website Professional $151/mo, Premium $1,756/mo, email pack 50k $526</t>
        </is>
      </c>
      <c r="S63" s="2" t="inlineStr">
        <is>
          <t>• {"name": "API add-on", "price": "263 per month / 2,527 per year"}</t>
        </is>
      </c>
      <c r="T63" s="2" t="inlineStr">
        <is>
          <t>Enterprise: contact for price</t>
        </is>
      </c>
      <c r="U63" s="2" t="inlineStr">
        <is>
          <t>self-serve ticketing/registration, global country sites; HK page read</t>
        </is>
      </c>
      <c r="V63" s="2" t="inlineStr">
        <is>
          <t>page</t>
        </is>
      </c>
      <c r="W63" s="2" t="inlineStr">
        <is>
          <t>https://support.eventbookings.com/en-hk/service-fees/ (HK service fee page)
https://support.eventbookings.com/en-hk/premium-features/ (HK premium plans)</t>
        </is>
      </c>
    </row>
    <row r="64">
      <c r="A64" s="2" t="inlineStr">
        <is>
          <t>Азия, Океания, Ближний Восток</t>
        </is>
      </c>
      <c r="B64" s="21" t="inlineStr">
        <is>
          <t>Peatix</t>
        </is>
      </c>
      <c r="C64" s="2" t="inlineStr">
        <is>
          <t>https://peatix.com</t>
        </is>
      </c>
      <c r="D64" s="2" t="inlineStr">
        <is>
          <t>United States</t>
        </is>
      </c>
      <c r="E64" s="2" t="inlineStr">
        <is>
          <t>USD</t>
        </is>
      </c>
      <c r="F64" s="2" t="inlineStr">
        <is>
          <t>direct merchant</t>
        </is>
      </c>
      <c r="G64" s="2" t="inlineStr">
        <is>
          <t>Per third-party summary: 5% platform fee plus Stripe card fee (about 2.9% + 30c). Peatix's own US pricing page could not be read; not confirmed whether money settles in the organiser's own Stripe account.</t>
        </is>
      </c>
      <c r="H64" s="2" t="inlineStr">
        <is>
          <t>percent</t>
        </is>
      </c>
      <c r="I64" s="2" t="inlineStr">
        <is>
          <t>• US: 5.0% — plus Stripe fee</t>
        </is>
      </c>
      <c r="J64" s="2" t="inlineStr"/>
      <c r="K64" s="2" t="inlineStr">
        <is>
          <t>включён: False; свой процессинг: None; Stripe; about 2.9% + 30c</t>
        </is>
      </c>
      <c r="L64" s="2" t="inlineStr"/>
      <c r="M64" s="2" t="inlineStr">
        <is>
          <t>no fee</t>
        </is>
      </c>
      <c r="N64" s="2" t="inlineStr"/>
      <c r="O64" s="2" t="inlineStr">
        <is>
          <t>not stated</t>
        </is>
      </c>
      <c r="P64" s="2" t="inlineStr"/>
      <c r="Q64" s="2" t="inlineStr"/>
      <c r="R64" s="2" t="inlineStr"/>
      <c r="S64" s="2" t="inlineStr"/>
      <c r="T64" s="2" t="inlineStr"/>
      <c r="U64" s="2" t="inlineStr">
        <is>
          <t>community / workshop / small-event organisers worldwide, strong in Japan and Southeast Asia; buyer pays no booking fee</t>
        </is>
      </c>
      <c r="V64" s="2" t="inlineStr">
        <is>
          <t>third_party</t>
        </is>
      </c>
      <c r="W64" s="2" t="inlineStr">
        <is>
          <t>https://tixfox.co/blog/peatix-fees (competitor (TixFox) summary of Peatix fees)</t>
        </is>
      </c>
    </row>
    <row r="65">
      <c r="A65" s="2" t="inlineStr">
        <is>
          <t>Азия, Океания, Ближний Восток</t>
        </is>
      </c>
      <c r="B65" s="21" t="inlineStr">
        <is>
          <t>EventNook</t>
        </is>
      </c>
      <c r="C65" s="2" t="inlineStr">
        <is>
          <t>https://www.eventnook.com</t>
        </is>
      </c>
      <c r="D65" s="2" t="inlineStr">
        <is>
          <t>Global (SG-based)</t>
        </is>
      </c>
      <c r="E65" s="2" t="inlineStr">
        <is>
          <t>USD</t>
        </is>
      </c>
      <c r="F65" s="2" t="inlineStr">
        <is>
          <t>direct merchant</t>
        </is>
      </c>
      <c r="G65" s="2" t="inlineStr">
        <is>
          <t>Payments run through Stripe, PayPal, Omise or offline; EventNook takes 0% commission on ticket sales and earns from annual/event plans.</t>
        </is>
      </c>
      <c r="H65" s="2" t="inlineStr">
        <is>
          <t>subscription</t>
        </is>
      </c>
      <c r="I65" s="2" t="inlineStr">
        <is>
          <t>• Registration (annual): 0% +0 2400/год — branded event site, registration, ticketing, payment, emails — 'From USD 2,400 per year'
• Onsite registration (per event):  — check-in, badge printing, onsite team — 'From USD 1,200 per event'</t>
        </is>
      </c>
      <c r="J65" s="2" t="inlineStr"/>
      <c r="K65" s="2" t="inlineStr">
        <is>
          <t>включён: False; свой процессинг: True; Stripe, PayPal, Omise, offline; processor fees paid by organiser</t>
        </is>
      </c>
      <c r="L65" s="2" t="inlineStr">
        <is>
          <t>organiser</t>
        </is>
      </c>
      <c r="M65" s="2" t="inlineStr">
        <is>
          <t>not stated</t>
        </is>
      </c>
      <c r="N65" s="2" t="inlineStr">
        <is>
          <t>not stated</t>
        </is>
      </c>
      <c r="O65" s="2" t="inlineStr">
        <is>
          <t>direct to organiser's processor</t>
        </is>
      </c>
      <c r="P65" s="2" t="inlineStr"/>
      <c r="Q65" s="2" t="inlineStr"/>
      <c r="R65" s="2" t="inlineStr">
        <is>
          <t>• single-event plan quoted on expected registrations
• modules (WhatsApp/SMS notices, app, AI site builder FlowAI) priced separately</t>
        </is>
      </c>
      <c r="S65" s="2" t="inlineStr">
        <is>
          <t>• {"name": "NookPass app, FlowAI site builder", "price": "quoted"}</t>
        </is>
      </c>
      <c r="T65" s="2" t="inlineStr">
        <is>
          <t>Enterprise and support plans by quote</t>
        </is>
      </c>
      <c r="U65" s="2" t="inlineStr">
        <is>
          <t>corporate / association events, conferences; registration, check-in and badge printing; not a consumer marketplace</t>
        </is>
      </c>
      <c r="V65" s="2" t="inlineStr">
        <is>
          <t>page</t>
        </is>
      </c>
      <c r="W65" s="2" t="inlineStr">
        <is>
          <t>https://www.eventnook.com/p/pricing (pricing page)</t>
        </is>
      </c>
    </row>
    <row r="66">
      <c r="A66" s="2" t="inlineStr">
        <is>
          <t>Азия, Океания, Ближний Восток</t>
        </is>
      </c>
      <c r="B66" s="21" t="inlineStr">
        <is>
          <t>Explara</t>
        </is>
      </c>
      <c r="C66" s="2" t="inlineStr">
        <is>
          <t>https://www.explara.com</t>
        </is>
      </c>
      <c r="D66" s="2" t="inlineStr">
        <is>
          <t>India / global</t>
        </is>
      </c>
      <c r="E66" s="2" t="inlineStr">
        <is>
          <t>USD</t>
        </is>
      </c>
      <c r="F66" s="2" t="inlineStr">
        <is>
          <t>оба варианта</t>
        </is>
      </c>
      <c r="G66" s="2" t="inlineStr">
        <is>
          <t>With the organiser's own Stripe/PayPal, Explara bills its fee separately to a card on file after 5 free trial transactions; with Explara's integrated gateway it takes its percentage from sales.</t>
        </is>
      </c>
      <c r="H66" s="2" t="inlineStr">
        <is>
          <t>mixed</t>
        </is>
      </c>
      <c r="I66" s="2" t="inlineStr">
        <is>
          <t>• Starter: 4.0% — 1 membership group, 1 event per month — 4% of ticket value (domestic only) + 1% Stripe gateway fee per transaction
• Mid plan (name not captured): 4.0% 9/мес — 2 chat groups, 5 events per month — same 4% + 1%
• Higher plan (name not captured): 4.0% 25/мес — 5 groups, 10 events per month — same 4% + 1%</t>
        </is>
      </c>
      <c r="J66" s="2" t="inlineStr">
        <is>
          <t>• credits for extra usage (sizes not captured): None (срок: —; возврат: None)</t>
        </is>
      </c>
      <c r="K66" s="2" t="inlineStr">
        <is>
          <t>включён: False; свой процессинг: True; Stripe, PayPal, Explara gateway; no extra fee as payment processing beyond the stated percentage</t>
        </is>
      </c>
      <c r="L66" s="2" t="inlineStr"/>
      <c r="M66" s="2" t="inlineStr">
        <is>
          <t>not captured</t>
        </is>
      </c>
      <c r="N66" s="2" t="inlineStr"/>
      <c r="O66" s="2" t="inlineStr"/>
      <c r="P66" s="2" t="inlineStr"/>
      <c r="Q66" s="2" t="inlineStr">
        <is>
          <t>taxes extra presumably</t>
        </is>
      </c>
      <c r="R66" s="2" t="inlineStr">
        <is>
          <t>• enterprise products carry set-up fees by customisation
• membership software free for 1 group and 50 members</t>
        </is>
      </c>
      <c r="S66" s="2" t="inlineStr"/>
      <c r="T66" s="2" t="inlineStr">
        <is>
          <t>enterprise customisation with setup fees</t>
        </is>
      </c>
      <c r="U66" s="2" t="inlineStr">
        <is>
          <t>Indian and international small event organisers and membership groups; credit-card billed</t>
        </is>
      </c>
      <c r="V66" s="2" t="inlineStr">
        <is>
          <t>page</t>
        </is>
      </c>
      <c r="W66" s="2" t="inlineStr">
        <is>
          <t>https://www.explara.com/pricing (pricing page)</t>
        </is>
      </c>
    </row>
  </sheetData>
  <autoFilter ref="A1:W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17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22" customWidth="1" min="3" max="3"/>
    <col width="16" customWidth="1" min="4" max="4"/>
    <col width="8" customWidth="1" min="5" max="5"/>
    <col width="14" customWidth="1" min="6" max="6"/>
    <col width="40" customWidth="1" min="7" max="7"/>
    <col width="14" customWidth="1" min="8" max="8"/>
    <col width="50" customWidth="1" min="9" max="9"/>
    <col width="26" customWidth="1" min="10" max="10"/>
    <col width="34" customWidth="1" min="11" max="11"/>
    <col width="16" customWidth="1" min="12" max="12"/>
    <col width="26" customWidth="1" min="13" max="13"/>
    <col width="26" customWidth="1" min="14" max="14"/>
    <col width="26" customWidth="1" min="15" max="15"/>
    <col width="30" customWidth="1" min="16" max="16"/>
    <col width="18" customWidth="1" min="17" max="17"/>
    <col width="60" customWidth="1" min="18" max="18"/>
    <col width="30" customWidth="1" min="19" max="19"/>
    <col width="26" customWidth="1" min="20" max="20"/>
    <col width="30" customWidth="1" min="21" max="21"/>
    <col width="10" customWidth="1" min="22" max="22"/>
    <col width="50" customWidth="1" min="23" max="23"/>
  </cols>
  <sheetData>
    <row r="1">
      <c r="A1" s="7" t="inlineStr">
        <is>
          <t>Регион</t>
        </is>
      </c>
      <c r="B1" s="7" t="inlineStr">
        <is>
          <t>Платформа</t>
        </is>
      </c>
      <c r="C1" s="7" t="inlineStr">
        <is>
          <t>Сайт</t>
        </is>
      </c>
      <c r="D1" s="7" t="inlineStr">
        <is>
          <t>Рынок</t>
        </is>
      </c>
      <c r="E1" s="7" t="inlineStr">
        <is>
          <t>Валюта</t>
        </is>
      </c>
      <c r="F1" s="7" t="inlineStr">
        <is>
          <t>Движение денег</t>
        </is>
      </c>
      <c r="G1" s="7" t="inlineStr">
        <is>
          <t>Как берёт деньги / выплаты</t>
        </is>
      </c>
      <c r="H1" s="7" t="inlineStr">
        <is>
          <t>Модель</t>
        </is>
      </c>
      <c r="I1" s="7" t="inlineStr">
        <is>
          <t>Тарифы и сбор за билет</t>
        </is>
      </c>
      <c r="J1" s="7" t="inlineStr">
        <is>
          <t>Предоплата</t>
        </is>
      </c>
      <c r="K1" s="7" t="inlineStr">
        <is>
          <t>Эквайринг</t>
        </is>
      </c>
      <c r="L1" s="7" t="inlineStr">
        <is>
          <t>Кто платит</t>
        </is>
      </c>
      <c r="M1" s="7" t="inlineStr">
        <is>
          <t>Бесплатные билеты</t>
        </is>
      </c>
      <c r="N1" s="7" t="inlineStr">
        <is>
          <t>Рассадка</t>
        </is>
      </c>
      <c r="O1" s="7" t="inlineStr">
        <is>
          <t>Выплаты</t>
        </is>
      </c>
      <c r="P1" s="7" t="inlineStr">
        <is>
          <t>Возвраты и чарджбэки</t>
        </is>
      </c>
      <c r="Q1" s="7" t="inlineStr">
        <is>
          <t>НДС</t>
        </is>
      </c>
      <c r="R1" s="7" t="inlineStr">
        <is>
          <t>Мелкий шрифт (звёздочки)</t>
        </is>
      </c>
      <c r="S1" s="7" t="inlineStr">
        <is>
          <t>Доп. услуги</t>
        </is>
      </c>
      <c r="T1" s="7" t="inlineStr">
        <is>
          <t>Enterprise / по запросу</t>
        </is>
      </c>
      <c r="U1" s="7" t="inlineStr">
        <is>
          <t>Сегмент</t>
        </is>
      </c>
      <c r="V1" s="7" t="inlineStr">
        <is>
          <t>Уверенность</t>
        </is>
      </c>
      <c r="W1" s="7" t="inlineStr">
        <is>
          <t>Источники</t>
        </is>
      </c>
    </row>
    <row r="2">
      <c r="A2" s="2" t="inlineStr">
        <is>
          <t>Глобальные self-serve</t>
        </is>
      </c>
      <c r="B2" s="22" t="inlineStr">
        <is>
          <t>Eventbrite</t>
        </is>
      </c>
      <c r="C2" s="2" t="inlineStr">
        <is>
          <t>https://www.eventbrite.com</t>
        </is>
      </c>
      <c r="D2" s="2" t="inlineStr">
        <is>
          <t>US</t>
        </is>
      </c>
      <c r="E2" s="2" t="inlineStr">
        <is>
          <t>USD</t>
        </is>
      </c>
      <c r="F2" s="2" t="inlineStr">
        <is>
          <t>собирает на себя</t>
        </is>
      </c>
      <c r="G2" s="2" t="inlineStr">
        <is>
          <t>Eventbrite collects the money through Eventbrite Payment Processing and pays the organizer; fees deducted from sales at payout. Default payout is after the event (3 business days after it ends, third-party summary); a 'pre-event payouts' feature is advertised without public terms; instant payouts carry a fee (rate not on pages read). Reserve/holdback terms not published on pages read.</t>
        </is>
      </c>
      <c r="H2" s="2" t="inlineStr">
        <is>
          <t>percent_plus_fixed</t>
        </is>
      </c>
      <c r="I2" s="2" t="inlineStr">
        <is>
          <t>• Standard (paid tickets): 3.7% +1.79 — Service fee per sold ticket; PLUS 2.9% payment processing per order (on total order incl. fees and tax) — Donation tickets: 2.9% processing only.</t>
        </is>
      </c>
      <c r="J2" s="2" t="inlineStr"/>
      <c r="K2" s="2" t="inlineStr">
        <is>
          <t>включён: True; свой процессинг: False; Eventbrite Payment Processing (own); 2.9% of the total order (separate line)</t>
        </is>
      </c>
      <c r="L2" s="2" t="inlineStr">
        <is>
          <t>buyer (configurable: organizer can tick 'Absorb fees')</t>
        </is>
      </c>
      <c r="M2" s="2" t="inlineStr">
        <is>
          <t>Free events/tickets: no fee at all.</t>
        </is>
      </c>
      <c r="N2" s="2" t="inlineStr">
        <is>
          <t>No separate reserved-seating surcharge in the help-centre fee table (null = not stated).</t>
        </is>
      </c>
      <c r="O2" s="2" t="inlineStr">
        <is>
          <t>Collected by Eventbrite; after the event by default (3 business days after event end, third_party); pre-event and instant payouts exist but terms not captured.</t>
        </is>
      </c>
      <c r="P2" s="2" t="inlineStr">
        <is>
          <t>Ticketing Fee not refunded on refunded orders (exceptions: cancelled event, duplicate charge within 7 days). Chargeback terms not captured.</t>
        </is>
      </c>
      <c r="Q2" s="2" t="inlineStr">
        <is>
          <t>VAT/tax treatment of the fee not stated in fee table (breakdown on event page 'includes any taxes')</t>
        </is>
      </c>
      <c r="R2" s="2" t="inlineStr">
        <is>
          <t>• Ticketing Fee = service fee + payment processing fee where applicable; same fee also applies to add-ons and donations; free tickets carry no fee.
• Service fee is computed on ticket price; payment processing fee (where separate) is computed on the whole order incl. service fee and tax.
• Ticketing Fees are retained when an order is refunded; refunded only for a cancelled event or a duplicate charge reported within 7 days (organizer can opt to pay fees so buyer gets a full refund).
• Fees vary per payout country AND currency; bank must be in the payout country; payout country/currency cannot be changed once sales are pending or tickets sold.
• Pricing page content is geo-detected: eventbrite.co.uk scraped from a US-located IP still displayed the US fee (3.7% + $1.79); the help-centre country table is the authoritative source.
• Optional paid extras: Eventbrite Ads (daily budget), email marketing Pro/Premium subscription; custom plans via Sales Partnerships for large/complex events (price not public).
• Eventbrite Premium (optional subscription, 2026): US $69/mo or $708/yr; UK GBP 59/mo or 588/yr; CA CA$89/mo or CA$948/yr; AU A$99/mo or A$1,068/yr; FR/DE/IE/IT/ES EUR 59/mo or 588/yr; NZ NZ$99/mo or NZ$1,068/yr. Includes paid-social promotion, badge, $20/mo ad credit, 2,000 emails/day, priority support, 50% off instant-payout fees. Legacy Pro plan closed to new subscribers.
• At-the-door (Organizer app) fees only for AUD/CAD/GBP/USD events: US $1/paid ticket + 2.9% per order; CA C$1 + 2.9%; UK GBP 0.50 + 1.6% per order; AU A$1.00 + 2% per order; free for offline cash/cheque; processing fee cannot be passed on in the app.</t>
        </is>
      </c>
      <c r="S2" s="2" t="inlineStr">
        <is>
          <t>• {"name": "Email marketing (Pro)", "price": "from $15/month US, from GBP 12/month UK (pricing page)"}
• {"name": "Eventbrite Premium", "price": "see fine print"}
• {"name": "Eventbrite Ads", "price": "pay per daily budget"}</t>
        </is>
      </c>
      <c r="T2" s="2" t="inlineStr">
        <is>
          <t>Contact Sales Partnerships for large or complex events; price not public</t>
        </is>
      </c>
      <c r="U2" s="2" t="inlineStr">
        <is>
          <t>global self-serve marketplace + ticketing; organizers of every size; buyer pays fees by default; strongest consumer discovery audience (claims 89M monthly users)</t>
        </is>
      </c>
      <c r="V2" s="2" t="inlineStr">
        <is>
          <t>page</t>
        </is>
      </c>
      <c r="W2" s="2" t="inlineStr">
        <is>
          <t>https://www.eventbrite.com/help/en-us/articles/755615/how-much-does-it-cost-for-organizers-to-use-eventbrite/ (help centre: Ticketing Fees per country (primary))
https://www.eventbrite.com/help/en-us/articles/193833/eventbrites-new-pricing-plans/ (help centre: pricing and plans / Premium)
https://www.eventbrite.com/help/en-us/articles/548304/is-the-eventbrite-fee-refundable/ (help centre: is the fee refundable)
https://hi.events/ticketing-platform-payouts (third-party payout comparison (Hi.Events, a competitor))
https://www.eventbrite.com/organizer/pricing/ (pricing page)</t>
        </is>
      </c>
    </row>
    <row r="3">
      <c r="A3" s="2" t="inlineStr">
        <is>
          <t>Глобальные self-serve</t>
        </is>
      </c>
      <c r="B3" s="22" t="inlineStr">
        <is>
          <t>Eventbrite</t>
        </is>
      </c>
      <c r="C3" s="2" t="inlineStr">
        <is>
          <t>https://www.eventbrite.com</t>
        </is>
      </c>
      <c r="D3" s="2" t="inlineStr">
        <is>
          <t>UK</t>
        </is>
      </c>
      <c r="E3" s="2" t="inlineStr">
        <is>
          <t>GBP</t>
        </is>
      </c>
      <c r="F3" s="2" t="inlineStr">
        <is>
          <t>собирает на себя</t>
        </is>
      </c>
      <c r="G3" s="2" t="inlineStr">
        <is>
          <t>Eventbrite collects the money through Eventbrite Payment Processing and pays the organizer; fees deducted from sales at payout. Default payout is after the event (3 business days after it ends, third-party summary); a 'pre-event payouts' feature is advertised without public terms; instant payouts carry a fee (rate not on pages read). Reserve/holdback terms not published on pages read.</t>
        </is>
      </c>
      <c r="H3" s="2" t="inlineStr">
        <is>
          <t>percent_plus_fixed</t>
        </is>
      </c>
      <c r="I3" s="2" t="inlineStr">
        <is>
          <t>• Standard (paid tickets): 6.95% +0.59 — Service fee per sold ticket; payment processing 'Not applicable' (included in the service fee) — Donation tickets: 2% service fee. At-door: GBP 0.50/ticket + 1.6% per order.</t>
        </is>
      </c>
      <c r="J3" s="2" t="inlineStr"/>
      <c r="K3" s="2" t="inlineStr">
        <is>
          <t>включён: True; свой процессинг: False; Eventbrite Payment Processing (own); Included in the service fee (no separate line)</t>
        </is>
      </c>
      <c r="L3" s="2" t="inlineStr">
        <is>
          <t>buyer (configurable: organizer can tick 'Absorb fees')</t>
        </is>
      </c>
      <c r="M3" s="2" t="inlineStr">
        <is>
          <t>Free events/tickets: no fee at all.</t>
        </is>
      </c>
      <c r="N3" s="2" t="inlineStr">
        <is>
          <t>No separate reserved-seating surcharge in the help-centre fee table (null = not stated).</t>
        </is>
      </c>
      <c r="O3" s="2" t="inlineStr">
        <is>
          <t>Collected by Eventbrite; after the event by default (3 business days after event end, third_party); pre-event and instant payouts exist but terms not captured.</t>
        </is>
      </c>
      <c r="P3" s="2" t="inlineStr">
        <is>
          <t>Ticketing Fee not refunded on refunded orders (exceptions: cancelled event, duplicate charge within 7 days). Chargeback terms not captured.</t>
        </is>
      </c>
      <c r="Q3" s="2" t="inlineStr">
        <is>
          <t>VAT/tax treatment of the fee not stated in fee table (breakdown on event page 'includes any taxes')</t>
        </is>
      </c>
      <c r="R3" s="2" t="inlineStr">
        <is>
          <t>• Ticketing Fee = service fee + payment processing fee where applicable; same fee also applies to add-ons and donations; free tickets carry no fee.
• Service fee is computed on ticket price; payment processing fee (where separate) is computed on the whole order incl. service fee and tax.
• Ticketing Fees are retained when an order is refunded; refunded only for a cancelled event or a duplicate charge reported within 7 days (organizer can opt to pay fees so buyer gets a full refund).
• Fees vary per payout country AND currency; bank must be in the payout country; payout country/currency cannot be changed once sales are pending or tickets sold.
• Pricing page content is geo-detected: eventbrite.co.uk scraped from a US-located IP still displayed the US fee (3.7% + $1.79); the help-centre country table is the authoritative source.
• Optional paid extras: Eventbrite Ads (daily budget), email marketing Pro/Premium subscription; custom plans via Sales Partnerships for large/complex events (price not public).
• Eventbrite Premium (optional subscription, 2026): US $69/mo or $708/yr; UK GBP 59/mo or 588/yr; CA CA$89/mo or CA$948/yr; AU A$99/mo or A$1,068/yr; FR/DE/IE/IT/ES EUR 59/mo or 588/yr; NZ NZ$99/mo or NZ$1,068/yr. Includes paid-social promotion, badge, $20/mo ad credit, 2,000 emails/day, priority support, 50% off instant-payout fees. Legacy Pro plan closed to new subscribers.
• At-the-door (Organizer app) fees only for AUD/CAD/GBP/USD events: US $1/paid ticket + 2.9% per order; CA C$1 + 2.9%; UK GBP 0.50 + 1.6% per order; AU A$1.00 + 2% per order; free for offline cash/cheque; processing fee cannot be passed on in the app.</t>
        </is>
      </c>
      <c r="S3" s="2" t="inlineStr">
        <is>
          <t>• {"name": "Email marketing (Pro)", "price": "from $15/month US, from GBP 12/month UK (pricing page)"}
• {"name": "Eventbrite Premium", "price": "see fine print"}
• {"name": "Eventbrite Ads", "price": "pay per daily budget"}</t>
        </is>
      </c>
      <c r="T3" s="2" t="inlineStr">
        <is>
          <t>Contact Sales Partnerships for large or complex events; price not public</t>
        </is>
      </c>
      <c r="U3" s="2" t="inlineStr">
        <is>
          <t>global self-serve marketplace + ticketing; organizers of every size; buyer pays fees by default; strongest consumer discovery audience (claims 89M monthly users)</t>
        </is>
      </c>
      <c r="V3" s="2" t="inlineStr">
        <is>
          <t>page</t>
        </is>
      </c>
      <c r="W3" s="2" t="inlineStr">
        <is>
          <t>https://www.eventbrite.com/help/en-us/articles/755615/how-much-does-it-cost-for-organizers-to-use-eventbrite/ (help centre: Ticketing Fees per country (primary))
https://www.eventbrite.com/help/en-us/articles/193833/eventbrites-new-pricing-plans/ (help centre: pricing and plans / Premium)
https://www.eventbrite.com/help/en-us/articles/548304/is-the-eventbrite-fee-refundable/ (help centre: is the fee refundable)
https://hi.events/ticketing-platform-payouts (third-party payout comparison (Hi.Events, a competitor))
https://www.eventbrite.com/organizer/pricing/ (pricing page)</t>
        </is>
      </c>
    </row>
    <row r="4">
      <c r="A4" s="2" t="inlineStr">
        <is>
          <t>Глобальные self-serve</t>
        </is>
      </c>
      <c r="B4" s="22" t="inlineStr">
        <is>
          <t>Eventbrite</t>
        </is>
      </c>
      <c r="C4" s="2" t="inlineStr">
        <is>
          <t>https://www.eventbrite.com</t>
        </is>
      </c>
      <c r="D4" s="2" t="inlineStr">
        <is>
          <t>Ireland</t>
        </is>
      </c>
      <c r="E4" s="2" t="inlineStr">
        <is>
          <t>EUR</t>
        </is>
      </c>
      <c r="F4" s="2" t="inlineStr">
        <is>
          <t>собирает на себя</t>
        </is>
      </c>
      <c r="G4" s="2" t="inlineStr">
        <is>
          <t>Eventbrite collects the money through Eventbrite Payment Processing and pays the organizer; fees deducted from sales at payout. Default payout is after the event (3 business days after it ends, third-party summary); a 'pre-event payouts' feature is advertised without public terms; instant payouts carry a fee (rate not on pages read). Reserve/holdback terms not published on pages read.</t>
        </is>
      </c>
      <c r="H4" s="2" t="inlineStr">
        <is>
          <t>percent_plus_fixed</t>
        </is>
      </c>
      <c r="I4" s="2" t="inlineStr">
        <is>
          <t>• Standard (paid tickets): 5.9% +0.79 — Service fee per sold ticket; processing included — Donation tickets: 2% service fee.</t>
        </is>
      </c>
      <c r="J4" s="2" t="inlineStr"/>
      <c r="K4" s="2" t="inlineStr">
        <is>
          <t>включён: True; свой процессинг: False; Eventbrite Payment Processing (own); Included in the service fee</t>
        </is>
      </c>
      <c r="L4" s="2" t="inlineStr">
        <is>
          <t>buyer (configurable: organizer can tick 'Absorb fees')</t>
        </is>
      </c>
      <c r="M4" s="2" t="inlineStr">
        <is>
          <t>Free events/tickets: no fee at all.</t>
        </is>
      </c>
      <c r="N4" s="2" t="inlineStr">
        <is>
          <t>No separate reserved-seating surcharge in the help-centre fee table (null = not stated).</t>
        </is>
      </c>
      <c r="O4" s="2" t="inlineStr">
        <is>
          <t>Collected by Eventbrite; after the event by default (3 business days after event end, third_party); pre-event and instant payouts exist but terms not captured.</t>
        </is>
      </c>
      <c r="P4" s="2" t="inlineStr">
        <is>
          <t>Ticketing Fee not refunded on refunded orders (exceptions: cancelled event, duplicate charge within 7 days). Chargeback terms not captured.</t>
        </is>
      </c>
      <c r="Q4" s="2" t="inlineStr">
        <is>
          <t>VAT/tax treatment of the fee not stated in fee table (breakdown on event page 'includes any taxes')</t>
        </is>
      </c>
      <c r="R4" s="2" t="inlineStr">
        <is>
          <t>• Ticketing Fee = service fee + payment processing fee where applicable; same fee also applies to add-ons and donations; free tickets carry no fee.
• Service fee is computed on ticket price; payment processing fee (where separate) is computed on the whole order incl. service fee and tax.
• Ticketing Fees are retained when an order is refunded; refunded only for a cancelled event or a duplicate charge reported within 7 days (organizer can opt to pay fees so buyer gets a full refund).
• Fees vary per payout country AND currency; bank must be in the payout country; payout country/currency cannot be changed once sales are pending or tickets sold.
• Pricing page content is geo-detected: eventbrite.co.uk scraped from a US-located IP still displayed the US fee (3.7% + $1.79); the help-centre country table is the authoritative source.
• Optional paid extras: Eventbrite Ads (daily budget), email marketing Pro/Premium subscription; custom plans via Sales Partnerships for large/complex events (price not public).
• Eventbrite Premium (optional subscription, 2026): US $69/mo or $708/yr; UK GBP 59/mo or 588/yr; CA CA$89/mo or CA$948/yr; AU A$99/mo or A$1,068/yr; FR/DE/IE/IT/ES EUR 59/mo or 588/yr; NZ NZ$99/mo or NZ$1,068/yr. Includes paid-social promotion, badge, $20/mo ad credit, 2,000 emails/day, priority support, 50% off instant-payout fees. Legacy Pro plan closed to new subscribers.
• At-the-door (Organizer app) fees only for AUD/CAD/GBP/USD events: US $1/paid ticket + 2.9% per order; CA C$1 + 2.9%; UK GBP 0.50 + 1.6% per order; AU A$1.00 + 2% per order; free for offline cash/cheque; processing fee cannot be passed on in the app.</t>
        </is>
      </c>
      <c r="S4" s="2" t="inlineStr">
        <is>
          <t>• {"name": "Email marketing (Pro)", "price": "from $15/month US, from GBP 12/month UK (pricing page)"}
• {"name": "Eventbrite Premium", "price": "see fine print"}
• {"name": "Eventbrite Ads", "price": "pay per daily budget"}</t>
        </is>
      </c>
      <c r="T4" s="2" t="inlineStr">
        <is>
          <t>Contact Sales Partnerships for large or complex events; price not public</t>
        </is>
      </c>
      <c r="U4" s="2" t="inlineStr">
        <is>
          <t>global self-serve marketplace + ticketing; organizers of every size; buyer pays fees by default; strongest consumer discovery audience (claims 89M monthly users)</t>
        </is>
      </c>
      <c r="V4" s="2" t="inlineStr">
        <is>
          <t>page</t>
        </is>
      </c>
      <c r="W4" s="2" t="inlineStr">
        <is>
          <t>https://www.eventbrite.com/help/en-us/articles/755615/how-much-does-it-cost-for-organizers-to-use-eventbrite/ (help centre: Ticketing Fees per country (primary))
https://www.eventbrite.com/help/en-us/articles/193833/eventbrites-new-pricing-plans/ (help centre: pricing and plans / Premium)
https://www.eventbrite.com/help/en-us/articles/548304/is-the-eventbrite-fee-refundable/ (help centre: is the fee refundable)
https://hi.events/ticketing-platform-payouts (third-party payout comparison (Hi.Events, a competitor))
https://www.eventbrite.com/organizer/pricing/ (pricing page)</t>
        </is>
      </c>
    </row>
    <row r="5">
      <c r="A5" s="2" t="inlineStr">
        <is>
          <t>Глобальные self-serve</t>
        </is>
      </c>
      <c r="B5" s="22" t="inlineStr">
        <is>
          <t>Eventbrite</t>
        </is>
      </c>
      <c r="C5" s="2" t="inlineStr">
        <is>
          <t>https://www.eventbrite.com</t>
        </is>
      </c>
      <c r="D5" s="2" t="inlineStr">
        <is>
          <t>Canada</t>
        </is>
      </c>
      <c r="E5" s="2" t="inlineStr">
        <is>
          <t>CAD</t>
        </is>
      </c>
      <c r="F5" s="2" t="inlineStr">
        <is>
          <t>собирает на себя</t>
        </is>
      </c>
      <c r="G5" s="2" t="inlineStr">
        <is>
          <t>Eventbrite collects the money through Eventbrite Payment Processing and pays the organizer; fees deducted from sales at payout. Default payout is after the event (3 business days after it ends, third-party summary); a 'pre-event payouts' feature is advertised without public terms; instant payouts carry a fee (rate not on pages read). Reserve/holdback terms not published on pages read.</t>
        </is>
      </c>
      <c r="H5" s="2" t="inlineStr">
        <is>
          <t>percent_plus_fixed</t>
        </is>
      </c>
      <c r="I5" s="2" t="inlineStr">
        <is>
          <t>• Standard (paid tickets): 3.5% +1.29 — Service fee per sold ticket; plus 2.9% processing per order — At-door C$1.00/ticket + 2.9%.</t>
        </is>
      </c>
      <c r="J5" s="2" t="inlineStr"/>
      <c r="K5" s="2" t="inlineStr">
        <is>
          <t>включён: True; свой процессинг: False; Eventbrite Payment Processing (own); 2.9% of total order</t>
        </is>
      </c>
      <c r="L5" s="2" t="inlineStr">
        <is>
          <t>buyer (configurable: organizer can tick 'Absorb fees')</t>
        </is>
      </c>
      <c r="M5" s="2" t="inlineStr">
        <is>
          <t>Free events/tickets: no fee at all.</t>
        </is>
      </c>
      <c r="N5" s="2" t="inlineStr">
        <is>
          <t>No separate reserved-seating surcharge in the help-centre fee table (null = not stated).</t>
        </is>
      </c>
      <c r="O5" s="2" t="inlineStr">
        <is>
          <t>Collected by Eventbrite; after the event by default (3 business days after event end, third_party); pre-event and instant payouts exist but terms not captured.</t>
        </is>
      </c>
      <c r="P5" s="2" t="inlineStr">
        <is>
          <t>Ticketing Fee not refunded on refunded orders (exceptions: cancelled event, duplicate charge within 7 days). Chargeback terms not captured.</t>
        </is>
      </c>
      <c r="Q5" s="2" t="inlineStr">
        <is>
          <t>VAT/tax treatment of the fee not stated in fee table (breakdown on event page 'includes any taxes')</t>
        </is>
      </c>
      <c r="R5" s="2" t="inlineStr">
        <is>
          <t>• Ticketing Fee = service fee + payment processing fee where applicable; same fee also applies to add-ons and donations; free tickets carry no fee.
• Service fee is computed on ticket price; payment processing fee (where separate) is computed on the whole order incl. service fee and tax.
• Ticketing Fees are retained when an order is refunded; refunded only for a cancelled event or a duplicate charge reported within 7 days (organizer can opt to pay fees so buyer gets a full refund).
• Fees vary per payout country AND currency; bank must be in the payout country; payout country/currency cannot be changed once sales are pending or tickets sold.
• Pricing page content is geo-detected: eventbrite.co.uk scraped from a US-located IP still displayed the US fee (3.7% + $1.79); the help-centre country table is the authoritative source.
• Optional paid extras: Eventbrite Ads (daily budget), email marketing Pro/Premium subscription; custom plans via Sales Partnerships for large/complex events (price not public).
• Eventbrite Premium (optional subscription, 2026): US $69/mo or $708/yr; UK GBP 59/mo or 588/yr; CA CA$89/mo or CA$948/yr; AU A$99/mo or A$1,068/yr; FR/DE/IE/IT/ES EUR 59/mo or 588/yr; NZ NZ$99/mo or NZ$1,068/yr. Includes paid-social promotion, badge, $20/mo ad credit, 2,000 emails/day, priority support, 50% off instant-payout fees. Legacy Pro plan closed to new subscribers.
• At-the-door (Organizer app) fees only for AUD/CAD/GBP/USD events: US $1/paid ticket + 2.9% per order; CA C$1 + 2.9%; UK GBP 0.50 + 1.6% per order; AU A$1.00 + 2% per order; free for offline cash/cheque; processing fee cannot be passed on in the app.</t>
        </is>
      </c>
      <c r="S5" s="2" t="inlineStr">
        <is>
          <t>• {"name": "Email marketing (Pro)", "price": "from $15/month US, from GBP 12/month UK (pricing page)"}
• {"name": "Eventbrite Premium", "price": "see fine print"}
• {"name": "Eventbrite Ads", "price": "pay per daily budget"}</t>
        </is>
      </c>
      <c r="T5" s="2" t="inlineStr">
        <is>
          <t>Contact Sales Partnerships for large or complex events; price not public</t>
        </is>
      </c>
      <c r="U5" s="2" t="inlineStr">
        <is>
          <t>global self-serve marketplace + ticketing; organizers of every size; buyer pays fees by default; strongest consumer discovery audience (claims 89M monthly users)</t>
        </is>
      </c>
      <c r="V5" s="2" t="inlineStr">
        <is>
          <t>page</t>
        </is>
      </c>
      <c r="W5" s="2" t="inlineStr">
        <is>
          <t>https://www.eventbrite.com/help/en-us/articles/755615/how-much-does-it-cost-for-organizers-to-use-eventbrite/ (help centre: Ticketing Fees per country (primary))
https://www.eventbrite.com/help/en-us/articles/193833/eventbrites-new-pricing-plans/ (help centre: pricing and plans / Premium)
https://www.eventbrite.com/help/en-us/articles/548304/is-the-eventbrite-fee-refundable/ (help centre: is the fee refundable)
https://hi.events/ticketing-platform-payouts (third-party payout comparison (Hi.Events, a competitor))
https://www.eventbrite.com/organizer/pricing/ (pricing page)</t>
        </is>
      </c>
    </row>
    <row r="6">
      <c r="A6" s="2" t="inlineStr">
        <is>
          <t>Глобальные self-serve</t>
        </is>
      </c>
      <c r="B6" s="22" t="inlineStr">
        <is>
          <t>Eventbrite</t>
        </is>
      </c>
      <c r="C6" s="2" t="inlineStr">
        <is>
          <t>https://www.eventbrite.com</t>
        </is>
      </c>
      <c r="D6" s="2" t="inlineStr">
        <is>
          <t>Australia</t>
        </is>
      </c>
      <c r="E6" s="2" t="inlineStr">
        <is>
          <t>AUD</t>
        </is>
      </c>
      <c r="F6" s="2" t="inlineStr">
        <is>
          <t>собирает на себя</t>
        </is>
      </c>
      <c r="G6" s="2" t="inlineStr">
        <is>
          <t>Eventbrite collects the money through Eventbrite Payment Processing and pays the organizer; fees deducted from sales at payout. Default payout is after the event (3 business days after it ends, third-party summary); a 'pre-event payouts' feature is advertised without public terms; instant payouts carry a fee (rate not on pages read). Reserve/holdback terms not published on pages read.</t>
        </is>
      </c>
      <c r="H6" s="2" t="inlineStr">
        <is>
          <t>percent_plus_fixed</t>
        </is>
      </c>
      <c r="I6" s="2" t="inlineStr">
        <is>
          <t>• Standard (paid tickets): 5.35% +1.19 — Service fee per sold ticket; processing included — Donation tickets: 2% service fee. At-door A$1.00 + 2% per order.</t>
        </is>
      </c>
      <c r="J6" s="2" t="inlineStr"/>
      <c r="K6" s="2" t="inlineStr">
        <is>
          <t>включён: True; свой процессинг: False; Eventbrite Payment Processing (own); Included in service fee</t>
        </is>
      </c>
      <c r="L6" s="2" t="inlineStr">
        <is>
          <t>buyer (configurable: organizer can tick 'Absorb fees')</t>
        </is>
      </c>
      <c r="M6" s="2" t="inlineStr">
        <is>
          <t>Free events/tickets: no fee at all.</t>
        </is>
      </c>
      <c r="N6" s="2" t="inlineStr">
        <is>
          <t>No separate reserved-seating surcharge in the help-centre fee table (null = not stated).</t>
        </is>
      </c>
      <c r="O6" s="2" t="inlineStr">
        <is>
          <t>Collected by Eventbrite; after the event by default (3 business days after event end, third_party); pre-event and instant payouts exist but terms not captured.</t>
        </is>
      </c>
      <c r="P6" s="2" t="inlineStr">
        <is>
          <t>Ticketing Fee not refunded on refunded orders (exceptions: cancelled event, duplicate charge within 7 days). Chargeback terms not captured.</t>
        </is>
      </c>
      <c r="Q6" s="2" t="inlineStr">
        <is>
          <t>VAT/tax treatment of the fee not stated in fee table (breakdown on event page 'includes any taxes')</t>
        </is>
      </c>
      <c r="R6" s="2" t="inlineStr">
        <is>
          <t>• Ticketing Fee = service fee + payment processing fee where applicable; same fee also applies to add-ons and donations; free tickets carry no fee.
• Service fee is computed on ticket price; payment processing fee (where separate) is computed on the whole order incl. service fee and tax.
• Ticketing Fees are retained when an order is refunded; refunded only for a cancelled event or a duplicate charge reported within 7 days (organizer can opt to pay fees so buyer gets a full refund).
• Fees vary per payout country AND currency; bank must be in the payout country; payout country/currency cannot be changed once sales are pending or tickets sold.
• Pricing page content is geo-detected: eventbrite.co.uk scraped from a US-located IP still displayed the US fee (3.7% + $1.79); the help-centre country table is the authoritative source.
• Optional paid extras: Eventbrite Ads (daily budget), email marketing Pro/Premium subscription; custom plans via Sales Partnerships for large/complex events (price not public).
• Eventbrite Premium (optional subscription, 2026): US $69/mo or $708/yr; UK GBP 59/mo or 588/yr; CA CA$89/mo or CA$948/yr; AU A$99/mo or A$1,068/yr; FR/DE/IE/IT/ES EUR 59/mo or 588/yr; NZ NZ$99/mo or NZ$1,068/yr. Includes paid-social promotion, badge, $20/mo ad credit, 2,000 emails/day, priority support, 50% off instant-payout fees. Legacy Pro plan closed to new subscribers.
• At-the-door (Organizer app) fees only for AUD/CAD/GBP/USD events: US $1/paid ticket + 2.9% per order; CA C$1 + 2.9%; UK GBP 0.50 + 1.6% per order; AU A$1.00 + 2% per order; free for offline cash/cheque; processing fee cannot be passed on in the app.</t>
        </is>
      </c>
      <c r="S6" s="2" t="inlineStr">
        <is>
          <t>• {"name": "Email marketing (Pro)", "price": "from $15/month US, from GBP 12/month UK (pricing page)"}
• {"name": "Eventbrite Premium", "price": "see fine print"}
• {"name": "Eventbrite Ads", "price": "pay per daily budget"}</t>
        </is>
      </c>
      <c r="T6" s="2" t="inlineStr">
        <is>
          <t>Contact Sales Partnerships for large or complex events; price not public</t>
        </is>
      </c>
      <c r="U6" s="2" t="inlineStr">
        <is>
          <t>global self-serve marketplace + ticketing; organizers of every size; buyer pays fees by default; strongest consumer discovery audience (claims 89M monthly users)</t>
        </is>
      </c>
      <c r="V6" s="2" t="inlineStr">
        <is>
          <t>page</t>
        </is>
      </c>
      <c r="W6" s="2" t="inlineStr">
        <is>
          <t>https://www.eventbrite.com/help/en-us/articles/755615/how-much-does-it-cost-for-organizers-to-use-eventbrite/ (help centre: Ticketing Fees per country (primary))
https://www.eventbrite.com/help/en-us/articles/193833/eventbrites-new-pricing-plans/ (help centre: pricing and plans / Premium)
https://www.eventbrite.com/help/en-us/articles/548304/is-the-eventbrite-fee-refundable/ (help centre: is the fee refundable)
https://hi.events/ticketing-platform-payouts (third-party payout comparison (Hi.Events, a competitor))
https://www.eventbrite.com/organizer/pricing/ (pricing page)</t>
        </is>
      </c>
    </row>
    <row r="7">
      <c r="A7" s="2" t="inlineStr">
        <is>
          <t>Глобальные self-serve</t>
        </is>
      </c>
      <c r="B7" s="22" t="inlineStr">
        <is>
          <t>Eventbrite</t>
        </is>
      </c>
      <c r="C7" s="2" t="inlineStr">
        <is>
          <t>https://www.eventbrite.com</t>
        </is>
      </c>
      <c r="D7" s="2" t="inlineStr">
        <is>
          <t>New Zealand</t>
        </is>
      </c>
      <c r="E7" s="2" t="inlineStr">
        <is>
          <t>NZD</t>
        </is>
      </c>
      <c r="F7" s="2" t="inlineStr">
        <is>
          <t>собирает на себя</t>
        </is>
      </c>
      <c r="G7" s="2" t="inlineStr">
        <is>
          <t>Eventbrite collects the money through Eventbrite Payment Processing and pays the organizer; fees deducted from sales at payout. Default payout is after the event (3 business days after it ends, third-party summary); a 'pre-event payouts' feature is advertised without public terms; instant payouts carry a fee (rate not on pages read). Reserve/holdback terms not published on pages read.</t>
        </is>
      </c>
      <c r="H7" s="2" t="inlineStr">
        <is>
          <t>percent_plus_fixed</t>
        </is>
      </c>
      <c r="I7" s="2" t="inlineStr">
        <is>
          <t>• Standard (paid tickets): 4.2% +0.55 — Service fee per sold ticket; plus 2.4% processing per order</t>
        </is>
      </c>
      <c r="J7" s="2" t="inlineStr"/>
      <c r="K7" s="2" t="inlineStr">
        <is>
          <t>включён: True; свой процессинг: False; Eventbrite Payment Processing (own); 2.4% of total order</t>
        </is>
      </c>
      <c r="L7" s="2" t="inlineStr">
        <is>
          <t>buyer (configurable: organizer can tick 'Absorb fees')</t>
        </is>
      </c>
      <c r="M7" s="2" t="inlineStr">
        <is>
          <t>Free events/tickets: no fee at all.</t>
        </is>
      </c>
      <c r="N7" s="2" t="inlineStr">
        <is>
          <t>No separate reserved-seating surcharge in the help-centre fee table (null = not stated).</t>
        </is>
      </c>
      <c r="O7" s="2" t="inlineStr">
        <is>
          <t>Collected by Eventbrite; after the event by default (3 business days after event end, third_party); pre-event and instant payouts exist but terms not captured.</t>
        </is>
      </c>
      <c r="P7" s="2" t="inlineStr">
        <is>
          <t>Ticketing Fee not refunded on refunded orders (exceptions: cancelled event, duplicate charge within 7 days). Chargeback terms not captured.</t>
        </is>
      </c>
      <c r="Q7" s="2" t="inlineStr">
        <is>
          <t>VAT/tax treatment of the fee not stated in fee table (breakdown on event page 'includes any taxes')</t>
        </is>
      </c>
      <c r="R7" s="2" t="inlineStr">
        <is>
          <t>• Ticketing Fee = service fee + payment processing fee where applicable; same fee also applies to add-ons and donations; free tickets carry no fee.
• Service fee is computed on ticket price; payment processing fee (where separate) is computed on the whole order incl. service fee and tax.
• Ticketing Fees are retained when an order is refunded; refunded only for a cancelled event or a duplicate charge reported within 7 days (organizer can opt to pay fees so buyer gets a full refund).
• Fees vary per payout country AND currency; bank must be in the payout country; payout country/currency cannot be changed once sales are pending or tickets sold.
• Pricing page content is geo-detected: eventbrite.co.uk scraped from a US-located IP still displayed the US fee (3.7% + $1.79); the help-centre country table is the authoritative source.
• Optional paid extras: Eventbrite Ads (daily budget), email marketing Pro/Premium subscription; custom plans via Sales Partnerships for large/complex events (price not public).
• Eventbrite Premium (optional subscription, 2026): US $69/mo or $708/yr; UK GBP 59/mo or 588/yr; CA CA$89/mo or CA$948/yr; AU A$99/mo or A$1,068/yr; FR/DE/IE/IT/ES EUR 59/mo or 588/yr; NZ NZ$99/mo or NZ$1,068/yr. Includes paid-social promotion, badge, $20/mo ad credit, 2,000 emails/day, priority support, 50% off instant-payout fees. Legacy Pro plan closed to new subscribers.
• At-the-door (Organizer app) fees only for AUD/CAD/GBP/USD events: US $1/paid ticket + 2.9% per order; CA C$1 + 2.9%; UK GBP 0.50 + 1.6% per order; AU A$1.00 + 2% per order; free for offline cash/cheque; processing fee cannot be passed on in the app.</t>
        </is>
      </c>
      <c r="S7" s="2" t="inlineStr">
        <is>
          <t>• {"name": "Email marketing (Pro)", "price": "from $15/month US, from GBP 12/month UK (pricing page)"}
• {"name": "Eventbrite Premium", "price": "see fine print"}
• {"name": "Eventbrite Ads", "price": "pay per daily budget"}</t>
        </is>
      </c>
      <c r="T7" s="2" t="inlineStr">
        <is>
          <t>Contact Sales Partnerships for large or complex events; price not public</t>
        </is>
      </c>
      <c r="U7" s="2" t="inlineStr">
        <is>
          <t>global self-serve marketplace + ticketing; organizers of every size; buyer pays fees by default; strongest consumer discovery audience (claims 89M monthly users)</t>
        </is>
      </c>
      <c r="V7" s="2" t="inlineStr">
        <is>
          <t>page</t>
        </is>
      </c>
      <c r="W7" s="2" t="inlineStr">
        <is>
          <t>https://www.eventbrite.com/help/en-us/articles/755615/how-much-does-it-cost-for-organizers-to-use-eventbrite/ (help centre: Ticketing Fees per country (primary))
https://www.eventbrite.com/help/en-us/articles/193833/eventbrites-new-pricing-plans/ (help centre: pricing and plans / Premium)
https://www.eventbrite.com/help/en-us/articles/548304/is-the-eventbrite-fee-refundable/ (help centre: is the fee refundable)
https://hi.events/ticketing-platform-payouts (third-party payout comparison (Hi.Events, a competitor))
https://www.eventbrite.com/organizer/pricing/ (pricing page)</t>
        </is>
      </c>
    </row>
    <row r="8">
      <c r="A8" s="2" t="inlineStr">
        <is>
          <t>Глобальные self-serve</t>
        </is>
      </c>
      <c r="B8" s="22" t="inlineStr">
        <is>
          <t>Eventbrite</t>
        </is>
      </c>
      <c r="C8" s="2" t="inlineStr">
        <is>
          <t>https://www.eventbrite.com</t>
        </is>
      </c>
      <c r="D8" s="2" t="inlineStr">
        <is>
          <t>Spain</t>
        </is>
      </c>
      <c r="E8" s="2" t="inlineStr">
        <is>
          <t>EUR</t>
        </is>
      </c>
      <c r="F8" s="2" t="inlineStr">
        <is>
          <t>собирает на себя</t>
        </is>
      </c>
      <c r="G8" s="2" t="inlineStr">
        <is>
          <t>Eventbrite collects the money through Eventbrite Payment Processing and pays the organizer; fees deducted from sales at payout. Default payout is after the event (3 business days after it ends, third-party summary); a 'pre-event payouts' feature is advertised without public terms; instant payouts carry a fee (rate not on pages read). Reserve/holdback terms not published on pages read.</t>
        </is>
      </c>
      <c r="H8" s="2" t="inlineStr">
        <is>
          <t>percent_plus_fixed</t>
        </is>
      </c>
      <c r="I8" s="2" t="inlineStr">
        <is>
          <t>• Essentials package: 6.0% — Service fee per sold ticket — Country still on Eventbrite's legacy Essentials / Professional packages (not the new single plan). Feature split between the two packages not captured.
• Professional package: 9.0% +0.19 — Service fee per sold ticket — Spanish pricing page (eventbrite.es/organizer/pricing, read 2026-10-09) quotes exactly these two packages</t>
        </is>
      </c>
      <c r="J8" s="2" t="inlineStr"/>
      <c r="K8" s="2" t="inlineStr">
        <is>
          <t>включён: True; свой процессинг: False; Eventbrite Payment Processing (own); Included in the service fee</t>
        </is>
      </c>
      <c r="L8" s="2" t="inlineStr">
        <is>
          <t>buyer (configurable: organizer can tick 'Absorb fees')</t>
        </is>
      </c>
      <c r="M8" s="2" t="inlineStr">
        <is>
          <t>Free events/tickets: no fee at all.</t>
        </is>
      </c>
      <c r="N8" s="2" t="inlineStr">
        <is>
          <t>No separate reserved-seating surcharge in the help-centre fee table (null = not stated).</t>
        </is>
      </c>
      <c r="O8" s="2" t="inlineStr">
        <is>
          <t>Collected by Eventbrite; after the event by default (3 business days after event end, third_party); pre-event and instant payouts exist but terms not captured.</t>
        </is>
      </c>
      <c r="P8" s="2" t="inlineStr">
        <is>
          <t>Ticketing Fee not refunded on refunded orders (exceptions: cancelled event, duplicate charge within 7 days). Chargeback terms not captured.</t>
        </is>
      </c>
      <c r="Q8" s="2" t="inlineStr">
        <is>
          <t>VAT/tax treatment of the fee not stated in fee table (breakdown on event page 'includes any taxes')</t>
        </is>
      </c>
      <c r="R8" s="2" t="inlineStr">
        <is>
          <t>• Ticketing Fee = service fee + payment processing fee where applicable; same fee also applies to add-ons and donations; free tickets carry no fee.
• Service fee is computed on ticket price; payment processing fee (where separate) is computed on the whole order incl. service fee and tax.
• Ticketing Fees are retained when an order is refunded; refunded only for a cancelled event or a duplicate charge reported within 7 days (organizer can opt to pay fees so buyer gets a full refund).
• Fees vary per payout country AND currency; bank must be in the payout country; payout country/currency cannot be changed once sales are pending or tickets sold.
• Pricing page content is geo-detected: eventbrite.co.uk scraped from a US-located IP still displayed the US fee (3.7% + $1.79); the help-centre country table is the authoritative source.
• Optional paid extras: Eventbrite Ads (daily budget), email marketing Pro/Premium subscription; custom plans via Sales Partnerships for large/complex events (price not public).
• Eventbrite Premium (optional subscription, 2026): US $69/mo or $708/yr; UK GBP 59/mo or 588/yr; CA CA$89/mo or CA$948/yr; AU A$99/mo or A$1,068/yr; FR/DE/IE/IT/ES EUR 59/mo or 588/yr; NZ NZ$99/mo or NZ$1,068/yr. Includes paid-social promotion, badge, $20/mo ad credit, 2,000 emails/day, priority support, 50% off instant-payout fees. Legacy Pro plan closed to new subscribers.
• At-the-door (Organizer app) fees only for AUD/CAD/GBP/USD events: US $1/paid ticket + 2.9% per order; CA C$1 + 2.9%; UK GBP 0.50 + 1.6% per order; AU A$1.00 + 2% per order; free for offline cash/cheque; processing fee cannot be passed on in the app.
• Donation tickets: 2% service fee.
• Premium subscription listed for Spain at EUR 59/month.</t>
        </is>
      </c>
      <c r="S8" s="2" t="inlineStr">
        <is>
          <t>• {"name": "Email marketing (Pro)", "price": "from $15/month US, from GBP 12/month UK (pricing page)"}
• {"name": "Eventbrite Premium", "price": "see fine print"}
• {"name": "Eventbrite Ads", "price": "pay per daily budget"}</t>
        </is>
      </c>
      <c r="T8" s="2" t="inlineStr">
        <is>
          <t>Contact Sales Partnerships for large or complex events; price not public</t>
        </is>
      </c>
      <c r="U8" s="2" t="inlineStr">
        <is>
          <t>global self-serve marketplace + ticketing; organizers of every size; buyer pays fees by default; strongest consumer discovery audience (claims 89M monthly users)</t>
        </is>
      </c>
      <c r="V8" s="2" t="inlineStr">
        <is>
          <t>page</t>
        </is>
      </c>
      <c r="W8" s="2" t="inlineStr">
        <is>
          <t>https://www.eventbrite.com/help/en-us/articles/755615/how-much-does-it-cost-for-organizers-to-use-eventbrite/ (help centre: Ticketing Fees per country (primary))
https://www.eventbrite.com/help/en-us/articles/193833/eventbrites-new-pricing-plans/ (help centre: pricing and plans / Premium)
https://www.eventbrite.com/help/en-us/articles/548304/is-the-eventbrite-fee-refundable/ (help centre: is the fee refundable)
https://hi.events/ticketing-platform-payouts (third-party payout comparison (Hi.Events, a competitor))
https://www.eventbrite.com/organizer/pricing/ (pricing page)</t>
        </is>
      </c>
    </row>
    <row r="9">
      <c r="A9" s="2" t="inlineStr">
        <is>
          <t>Глобальные self-serve</t>
        </is>
      </c>
      <c r="B9" s="22" t="inlineStr">
        <is>
          <t>Eventbrite</t>
        </is>
      </c>
      <c r="C9" s="2" t="inlineStr">
        <is>
          <t>https://www.eventbrite.com</t>
        </is>
      </c>
      <c r="D9" s="2" t="inlineStr">
        <is>
          <t>Germany</t>
        </is>
      </c>
      <c r="E9" s="2" t="inlineStr">
        <is>
          <t>EUR</t>
        </is>
      </c>
      <c r="F9" s="2" t="inlineStr">
        <is>
          <t>собирает на себя</t>
        </is>
      </c>
      <c r="G9" s="2" t="inlineStr">
        <is>
          <t>Eventbrite collects the money through Eventbrite Payment Processing and pays the organizer; fees deducted from sales at payout. Default payout is after the event (3 business days after it ends, third-party summary); a 'pre-event payouts' feature is advertised without public terms; instant payouts carry a fee (rate not on pages read). Reserve/holdback terms not published on pages read.</t>
        </is>
      </c>
      <c r="H9" s="2" t="inlineStr">
        <is>
          <t>percent_plus_fixed</t>
        </is>
      </c>
      <c r="I9" s="2" t="inlineStr">
        <is>
          <t>• Essentials package: 5.5% — Service fee per sold ticket — Country still on Eventbrite's legacy Essentials / Professional packages (not the new single plan). Feature split between the two packages not captured.
• Professional package: 5.5% +0.99 — Service fee per sold ticket</t>
        </is>
      </c>
      <c r="J9" s="2" t="inlineStr"/>
      <c r="K9" s="2" t="inlineStr">
        <is>
          <t>включён: True; свой процессинг: False; Eventbrite Payment Processing (own); Included in the service fee</t>
        </is>
      </c>
      <c r="L9" s="2" t="inlineStr">
        <is>
          <t>buyer (configurable: organizer can tick 'Absorb fees')</t>
        </is>
      </c>
      <c r="M9" s="2" t="inlineStr">
        <is>
          <t>Free events/tickets: no fee at all.</t>
        </is>
      </c>
      <c r="N9" s="2" t="inlineStr">
        <is>
          <t>No separate reserved-seating surcharge in the help-centre fee table (null = not stated).</t>
        </is>
      </c>
      <c r="O9" s="2" t="inlineStr">
        <is>
          <t>Collected by Eventbrite; after the event by default (3 business days after event end, third_party); pre-event and instant payouts exist but terms not captured.</t>
        </is>
      </c>
      <c r="P9" s="2" t="inlineStr">
        <is>
          <t>Ticketing Fee not refunded on refunded orders (exceptions: cancelled event, duplicate charge within 7 days). Chargeback terms not captured.</t>
        </is>
      </c>
      <c r="Q9" s="2" t="inlineStr">
        <is>
          <t>VAT/tax treatment of the fee not stated in fee table (breakdown on event page 'includes any taxes')</t>
        </is>
      </c>
      <c r="R9" s="2" t="inlineStr">
        <is>
          <t>• Ticketing Fee = service fee + payment processing fee where applicable; same fee also applies to add-ons and donations; free tickets carry no fee.
• Service fee is computed on ticket price; payment processing fee (where separate) is computed on the whole order incl. service fee and tax.
• Ticketing Fees are retained when an order is refunded; refunded only for a cancelled event or a duplicate charge reported within 7 days (organizer can opt to pay fees so buyer gets a full refund).
• Fees vary per payout country AND currency; bank must be in the payout country; payout country/currency cannot be changed once sales are pending or tickets sold.
• Pricing page content is geo-detected: eventbrite.co.uk scraped from a US-located IP still displayed the US fee (3.7% + $1.79); the help-centre country table is the authoritative source.
• Optional paid extras: Eventbrite Ads (daily budget), email marketing Pro/Premium subscription; custom plans via Sales Partnerships for large/complex events (price not public).
• Eventbrite Premium (optional subscription, 2026): US $69/mo or $708/yr; UK GBP 59/mo or 588/yr; CA CA$89/mo or CA$948/yr; AU A$99/mo or A$1,068/yr; FR/DE/IE/IT/ES EUR 59/mo or 588/yr; NZ NZ$99/mo or NZ$1,068/yr. Includes paid-social promotion, badge, $20/mo ad credit, 2,000 emails/day, priority support, 50% off instant-payout fees. Legacy Pro plan closed to new subscribers.
• At-the-door (Organizer app) fees only for AUD/CAD/GBP/USD events: US $1/paid ticket + 2.9% per order; CA C$1 + 2.9%; UK GBP 0.50 + 1.6% per order; AU A$1.00 + 2% per order; free for offline cash/cheque; processing fee cannot be passed on in the app.
• Donation tickets: 2% service fee.</t>
        </is>
      </c>
      <c r="S9" s="2" t="inlineStr">
        <is>
          <t>• {"name": "Email marketing (Pro)", "price": "from $15/month US, from GBP 12/month UK (pricing page)"}
• {"name": "Eventbrite Premium", "price": "see fine print"}
• {"name": "Eventbrite Ads", "price": "pay per daily budget"}</t>
        </is>
      </c>
      <c r="T9" s="2" t="inlineStr">
        <is>
          <t>Contact Sales Partnerships for large or complex events; price not public</t>
        </is>
      </c>
      <c r="U9" s="2" t="inlineStr">
        <is>
          <t>global self-serve marketplace + ticketing; organizers of every size; buyer pays fees by default; strongest consumer discovery audience (claims 89M monthly users)</t>
        </is>
      </c>
      <c r="V9" s="2" t="inlineStr">
        <is>
          <t>page</t>
        </is>
      </c>
      <c r="W9" s="2" t="inlineStr">
        <is>
          <t>https://www.eventbrite.com/help/en-us/articles/755615/how-much-does-it-cost-for-organizers-to-use-eventbrite/ (help centre: Ticketing Fees per country (primary))
https://www.eventbrite.com/help/en-us/articles/193833/eventbrites-new-pricing-plans/ (help centre: pricing and plans / Premium)
https://www.eventbrite.com/help/en-us/articles/548304/is-the-eventbrite-fee-refundable/ (help centre: is the fee refundable)
https://hi.events/ticketing-platform-payouts (third-party payout comparison (Hi.Events, a competitor))
https://www.eventbrite.com/organizer/pricing/ (pricing page)</t>
        </is>
      </c>
    </row>
    <row r="10">
      <c r="A10" s="2" t="inlineStr">
        <is>
          <t>Глобальные self-serve</t>
        </is>
      </c>
      <c r="B10" s="22" t="inlineStr">
        <is>
          <t>Eventbrite</t>
        </is>
      </c>
      <c r="C10" s="2" t="inlineStr">
        <is>
          <t>https://www.eventbrite.com</t>
        </is>
      </c>
      <c r="D10" s="2" t="inlineStr">
        <is>
          <t>Netherlands</t>
        </is>
      </c>
      <c r="E10" s="2" t="inlineStr">
        <is>
          <t>EUR</t>
        </is>
      </c>
      <c r="F10" s="2" t="inlineStr">
        <is>
          <t>собирает на себя</t>
        </is>
      </c>
      <c r="G10" s="2" t="inlineStr">
        <is>
          <t>Eventbrite collects the money through Eventbrite Payment Processing and pays the organizer; fees deducted from sales at payout. Default payout is after the event (3 business days after it ends, third-party summary); a 'pre-event payouts' feature is advertised without public terms; instant payouts carry a fee (rate not on pages read). Reserve/holdback terms not published on pages read.</t>
        </is>
      </c>
      <c r="H10" s="2" t="inlineStr">
        <is>
          <t>percent_plus_fixed</t>
        </is>
      </c>
      <c r="I10" s="2" t="inlineStr">
        <is>
          <t>• Essentials package: 2.0% +0.49 — Ticket priced up to EUR 10.00: flat EUR 0.49; above EUR 10.01: 2% + EUR 0.49 — Country still on Eventbrite's legacy Essentials / Professional packages (not the new single plan). Feature split between the two packages not captured.
• Professional package: 4.0% +0.99 — Ticket up to EUR 10.00: flat EUR 0.99; above EUR 10.01: 4.0% + EUR 0.99</t>
        </is>
      </c>
      <c r="J10" s="2" t="inlineStr"/>
      <c r="K10" s="2" t="inlineStr">
        <is>
          <t>включён: True; свой процессинг: False; Eventbrite Payment Processing (own); Included in the service fee</t>
        </is>
      </c>
      <c r="L10" s="2" t="inlineStr">
        <is>
          <t>buyer (configurable: organizer can tick 'Absorb fees')</t>
        </is>
      </c>
      <c r="M10" s="2" t="inlineStr">
        <is>
          <t>Free events/tickets: no fee at all.</t>
        </is>
      </c>
      <c r="N10" s="2" t="inlineStr">
        <is>
          <t>No separate reserved-seating surcharge in the help-centre fee table (null = not stated).</t>
        </is>
      </c>
      <c r="O10" s="2" t="inlineStr">
        <is>
          <t>Collected by Eventbrite; after the event by default (3 business days after event end, third_party); pre-event and instant payouts exist but terms not captured.</t>
        </is>
      </c>
      <c r="P10" s="2" t="inlineStr">
        <is>
          <t>Ticketing Fee not refunded on refunded orders (exceptions: cancelled event, duplicate charge within 7 days). Chargeback terms not captured.</t>
        </is>
      </c>
      <c r="Q10" s="2" t="inlineStr">
        <is>
          <t>VAT/tax treatment of the fee not stated in fee table (breakdown on event page 'includes any taxes')</t>
        </is>
      </c>
      <c r="R10" s="2" t="inlineStr">
        <is>
          <t>• Ticketing Fee = service fee + payment processing fee where applicable; same fee also applies to add-ons and donations; free tickets carry no fee.
• Service fee is computed on ticket price; payment processing fee (where separate) is computed on the whole order incl. service fee and tax.
• Ticketing Fees are retained when an order is refunded; refunded only for a cancelled event or a duplicate charge reported within 7 days (organizer can opt to pay fees so buyer gets a full refund).
• Fees vary per payout country AND currency; bank must be in the payout country; payout country/currency cannot be changed once sales are pending or tickets sold.
• Pricing page content is geo-detected: eventbrite.co.uk scraped from a US-located IP still displayed the US fee (3.7% + $1.79); the help-centre country table is the authoritative source.
• Optional paid extras: Eventbrite Ads (daily budget), email marketing Pro/Premium subscription; custom plans via Sales Partnerships for large/complex events (price not public).
• Eventbrite Premium (optional subscription, 2026): US $69/mo or $708/yr; UK GBP 59/mo or 588/yr; CA CA$89/mo or CA$948/yr; AU A$99/mo or A$1,068/yr; FR/DE/IE/IT/ES EUR 59/mo or 588/yr; NZ NZ$99/mo or NZ$1,068/yr. Includes paid-social promotion, badge, $20/mo ad credit, 2,000 emails/day, priority support, 50% off instant-payout fees. Legacy Pro plan closed to new subscribers.
• At-the-door (Organizer app) fees only for AUD/CAD/GBP/USD events: US $1/paid ticket + 2.9% per order; CA C$1 + 2.9%; UK GBP 0.50 + 1.6% per order; AU A$1.00 + 2% per order; free for offline cash/cheque; processing fee cannot be passed on in the app.
• Donation tickets: 2% service fee.</t>
        </is>
      </c>
      <c r="S10" s="2" t="inlineStr">
        <is>
          <t>• {"name": "Email marketing (Pro)", "price": "from $15/month US, from GBP 12/month UK (pricing page)"}
• {"name": "Eventbrite Premium", "price": "see fine print"}
• {"name": "Eventbrite Ads", "price": "pay per daily budget"}</t>
        </is>
      </c>
      <c r="T10" s="2" t="inlineStr">
        <is>
          <t>Contact Sales Partnerships for large or complex events; price not public</t>
        </is>
      </c>
      <c r="U10" s="2" t="inlineStr">
        <is>
          <t>global self-serve marketplace + ticketing; organizers of every size; buyer pays fees by default; strongest consumer discovery audience (claims 89M monthly users)</t>
        </is>
      </c>
      <c r="V10" s="2" t="inlineStr">
        <is>
          <t>page</t>
        </is>
      </c>
      <c r="W10" s="2" t="inlineStr">
        <is>
          <t>https://www.eventbrite.com/help/en-us/articles/755615/how-much-does-it-cost-for-organizers-to-use-eventbrite/ (help centre: Ticketing Fees per country (primary))
https://www.eventbrite.com/help/en-us/articles/193833/eventbrites-new-pricing-plans/ (help centre: pricing and plans / Premium)
https://www.eventbrite.com/help/en-us/articles/548304/is-the-eventbrite-fee-refundable/ (help centre: is the fee refundable)
https://hi.events/ticketing-platform-payouts (third-party payout comparison (Hi.Events, a competitor))
https://www.eventbrite.com/organizer/pricing/ (pricing page)</t>
        </is>
      </c>
    </row>
    <row r="11">
      <c r="A11" s="2" t="inlineStr">
        <is>
          <t>Глобальные self-serve</t>
        </is>
      </c>
      <c r="B11" s="22" t="inlineStr">
        <is>
          <t>Eventbrite</t>
        </is>
      </c>
      <c r="C11" s="2" t="inlineStr">
        <is>
          <t>https://www.eventbrite.com</t>
        </is>
      </c>
      <c r="D11" s="2" t="inlineStr">
        <is>
          <t>France / Italy / Portugal / Finland / Greece</t>
        </is>
      </c>
      <c r="E11" s="2" t="inlineStr">
        <is>
          <t>EUR</t>
        </is>
      </c>
      <c r="F11" s="2" t="inlineStr">
        <is>
          <t>собирает на себя</t>
        </is>
      </c>
      <c r="G11" s="2" t="inlineStr">
        <is>
          <t>Eventbrite collects the money through Eventbrite Payment Processing and pays the organizer; fees deducted from sales at payout. Default payout is after the event (3 business days after it ends, third-party summary); a 'pre-event payouts' feature is advertised without public terms; instant payouts carry a fee (rate not on pages read). Reserve/holdback terms not published on pages read.</t>
        </is>
      </c>
      <c r="H11" s="2" t="inlineStr">
        <is>
          <t>percent_plus_fixed</t>
        </is>
      </c>
      <c r="I11" s="2" t="inlineStr">
        <is>
          <t>• Essentials package: 3.5% +0.49 — Service fee per sold ticket — Country still on Eventbrite's legacy Essentials / Professional packages (not the new single plan). Feature split between the two packages not captured.
• Professional package: 5.5% +0.99 — Service fee per sold ticket</t>
        </is>
      </c>
      <c r="J11" s="2" t="inlineStr"/>
      <c r="K11" s="2" t="inlineStr">
        <is>
          <t>включён: True; свой процессинг: False; Eventbrite Payment Processing (own); Included in the service fee</t>
        </is>
      </c>
      <c r="L11" s="2" t="inlineStr">
        <is>
          <t>buyer (configurable: organizer can tick 'Absorb fees')</t>
        </is>
      </c>
      <c r="M11" s="2" t="inlineStr">
        <is>
          <t>Free events/tickets: no fee at all.</t>
        </is>
      </c>
      <c r="N11" s="2" t="inlineStr">
        <is>
          <t>No separate reserved-seating surcharge in the help-centre fee table (null = not stated).</t>
        </is>
      </c>
      <c r="O11" s="2" t="inlineStr">
        <is>
          <t>Collected by Eventbrite; after the event by default (3 business days after event end, third_party); pre-event and instant payouts exist but terms not captured.</t>
        </is>
      </c>
      <c r="P11" s="2" t="inlineStr">
        <is>
          <t>Ticketing Fee not refunded on refunded orders (exceptions: cancelled event, duplicate charge within 7 days). Chargeback terms not captured.</t>
        </is>
      </c>
      <c r="Q11" s="2" t="inlineStr">
        <is>
          <t>VAT/tax treatment of the fee not stated in fee table (breakdown on event page 'includes any taxes')</t>
        </is>
      </c>
      <c r="R11" s="2" t="inlineStr">
        <is>
          <t>• Ticketing Fee = service fee + payment processing fee where applicable; same fee also applies to add-ons and donations; free tickets carry no fee.
• Service fee is computed on ticket price; payment processing fee (where separate) is computed on the whole order incl. service fee and tax.
• Ticketing Fees are retained when an order is refunded; refunded only for a cancelled event or a duplicate charge reported within 7 days (organizer can opt to pay fees so buyer gets a full refund).
• Fees vary per payout country AND currency; bank must be in the payout country; payout country/currency cannot be changed once sales are pending or tickets sold.
• Pricing page content is geo-detected: eventbrite.co.uk scraped from a US-located IP still displayed the US fee (3.7% + $1.79); the help-centre country table is the authoritative source.
• Optional paid extras: Eventbrite Ads (daily budget), email marketing Pro/Premium subscription; custom plans via Sales Partnerships for large/complex events (price not public).
• Eventbrite Premium (optional subscription, 2026): US $69/mo or $708/yr; UK GBP 59/mo or 588/yr; CA CA$89/mo or CA$948/yr; AU A$99/mo or A$1,068/yr; FR/DE/IE/IT/ES EUR 59/mo or 588/yr; NZ NZ$99/mo or NZ$1,068/yr. Includes paid-social promotion, badge, $20/mo ad credit, 2,000 emails/day, priority support, 50% off instant-payout fees. Legacy Pro plan closed to new subscribers.
• At-the-door (Organizer app) fees only for AUD/CAD/GBP/USD events: US $1/paid ticket + 2.9% per order; CA C$1 + 2.9%; UK GBP 0.50 + 1.6% per order; AU A$1.00 + 2% per order; free for offline cash/cheque; processing fee cannot be passed on in the app.</t>
        </is>
      </c>
      <c r="S11" s="2" t="inlineStr">
        <is>
          <t>• {"name": "Email marketing (Pro)", "price": "from $15/month US, from GBP 12/month UK (pricing page)"}
• {"name": "Eventbrite Premium", "price": "see fine print"}
• {"name": "Eventbrite Ads", "price": "pay per daily budget"}</t>
        </is>
      </c>
      <c r="T11" s="2" t="inlineStr">
        <is>
          <t>Contact Sales Partnerships for large or complex events; price not public</t>
        </is>
      </c>
      <c r="U11" s="2" t="inlineStr">
        <is>
          <t>global self-serve marketplace + ticketing; organizers of every size; buyer pays fees by default; strongest consumer discovery audience (claims 89M monthly users)</t>
        </is>
      </c>
      <c r="V11" s="2" t="inlineStr">
        <is>
          <t>page</t>
        </is>
      </c>
      <c r="W11" s="2" t="inlineStr">
        <is>
          <t>https://www.eventbrite.com/help/en-us/articles/755615/how-much-does-it-cost-for-organizers-to-use-eventbrite/ (help centre: Ticketing Fees per country (primary))
https://www.eventbrite.com/help/en-us/articles/193833/eventbrites-new-pricing-plans/ (help centre: pricing and plans / Premium)
https://www.eventbrite.com/help/en-us/articles/548304/is-the-eventbrite-fee-refundable/ (help centre: is the fee refundable)
https://hi.events/ticketing-platform-payouts (third-party payout comparison (Hi.Events, a competitor))
https://www.eventbrite.com/organizer/pricing/ (pricing page)</t>
        </is>
      </c>
    </row>
    <row r="12">
      <c r="A12" s="2" t="inlineStr">
        <is>
          <t>Глобальные self-serve</t>
        </is>
      </c>
      <c r="B12" s="22" t="inlineStr">
        <is>
          <t>Eventbrite</t>
        </is>
      </c>
      <c r="C12" s="2" t="inlineStr">
        <is>
          <t>https://www.eventbrite.com</t>
        </is>
      </c>
      <c r="D12" s="2" t="inlineStr">
        <is>
          <t>Other legacy-package countries (selection)</t>
        </is>
      </c>
      <c r="E12" s="2" t="inlineStr">
        <is>
          <t>local currency</t>
        </is>
      </c>
      <c r="F12" s="2" t="inlineStr">
        <is>
          <t>собирает на себя</t>
        </is>
      </c>
      <c r="G12" s="2" t="inlineStr">
        <is>
          <t>Eventbrite collects the money through Eventbrite Payment Processing and pays the organizer; fees deducted from sales at payout. Default payout is after the event (3 business days after it ends, third-party summary); a 'pre-event payouts' feature is advertised without public terms; instant payouts carry a fee (rate not on pages read). Reserve/holdback terms not published on pages read.</t>
        </is>
      </c>
      <c r="H12" s="2" t="inlineStr">
        <is>
          <t>percent_plus_fixed</t>
        </is>
      </c>
      <c r="I12" s="2" t="inlineStr">
        <is>
          <t>• Austria (EUR) Essentials/Professional: 5.5% — Essentials 5.5%; Professional 5.5% + EUR 0.99
• Belgium (EUR): 3.0% +0.49 — Essentials 3% + 0.49; Professional 4% + 0.99
• Czech Republic (CZK): 1.0% +19 — Essentials 1% + Kc19; Professional 2.5% + Kc39
• Poland (PLN): 1.0% +2.99 — Essentials 1% + zl2.99; Professional 2.5% + zl5.99
• Switzerland (CHF): 1.0% +0.59 — Essentials 1% + Fr0.59; Professional 2.5% + Fr0.99
• Israel (ILS): 2.99% — Essentials 2.99%; Professional 4.99%
• Denmark (DKK): 1.0% +4.99 — Essentials 1% + kr4.99; Professional 2.5% + kr9.99
• Hungary (HUF): 1.0% +199 — Essentials 1% + Ft199; Professional 2.5% + Ft399
• Norway/Malaysia/Philippines/Taiwan: 0.0% — Essentials: service fee free; Professional 4.99%
• Sweden/Japan/Thailand/Hong Kong: 3.99% — Essentials 3.99%; Professional 5.99%
• Mexico (MXN): 3.99% — Essentials 3.99% + 2% processing; Professional 5.99% + 2% processing
• Singapore (SGD): 1.0% +0.59 — Essentials 1% + S$0.59 + 2% processing; Professional 2.5% + S$0.99 + 2% processing
• Argentina / Brazil: 5.99% — Argentina Essentials 5.99% / Professional 6.99%; Brazil 6.99% / 9.99%</t>
        </is>
      </c>
      <c r="J12" s="2" t="inlineStr"/>
      <c r="K12" s="2" t="inlineStr">
        <is>
          <t>включён: True; свой процессинг: False; Eventbrite Payment Processing (own); varies by country</t>
        </is>
      </c>
      <c r="L12" s="2" t="inlineStr">
        <is>
          <t>buyer (configurable: organizer can tick 'Absorb fees')</t>
        </is>
      </c>
      <c r="M12" s="2" t="inlineStr">
        <is>
          <t>Free events/tickets: no fee at all.</t>
        </is>
      </c>
      <c r="N12" s="2" t="inlineStr">
        <is>
          <t>No separate reserved-seating surcharge in the help-centre fee table (null = not stated).</t>
        </is>
      </c>
      <c r="O12" s="2" t="inlineStr">
        <is>
          <t>Collected by Eventbrite; after the event by default (3 business days after event end, third_party); pre-event and instant payouts exist but terms not captured.</t>
        </is>
      </c>
      <c r="P12" s="2" t="inlineStr">
        <is>
          <t>Ticketing Fee not refunded on refunded orders (exceptions: cancelled event, duplicate charge within 7 days). Chargeback terms not captured.</t>
        </is>
      </c>
      <c r="Q12" s="2" t="inlineStr">
        <is>
          <t>VAT/tax treatment of the fee not stated in fee table (breakdown on event page 'includes any taxes')</t>
        </is>
      </c>
      <c r="R12" s="2" t="inlineStr">
        <is>
          <t>• Ticketing Fee = service fee + payment processing fee where applicable; same fee also applies to add-ons and donations; free tickets carry no fee.
• Service fee is computed on ticket price; payment processing fee (where separate) is computed on the whole order incl. service fee and tax.
• Ticketing Fees are retained when an order is refunded; refunded only for a cancelled event or a duplicate charge reported within 7 days (organizer can opt to pay fees so buyer gets a full refund).
• Fees vary per payout country AND currency; bank must be in the payout country; payout country/currency cannot be changed once sales are pending or tickets sold.
• Pricing page content is geo-detected: eventbrite.co.uk scraped from a US-located IP still displayed the US fee (3.7% + $1.79); the help-centre country table is the authoritative source.
• Optional paid extras: Eventbrite Ads (daily budget), email marketing Pro/Premium subscription; custom plans via Sales Partnerships for large/complex events (price not public).
• Eventbrite Premium (optional subscription, 2026): US $69/mo or $708/yr; UK GBP 59/mo or 588/yr; CA CA$89/mo or CA$948/yr; AU A$99/mo or A$1,068/yr; FR/DE/IE/IT/ES EUR 59/mo or 588/yr; NZ NZ$99/mo or NZ$1,068/yr. Includes paid-social promotion, badge, $20/mo ad credit, 2,000 emails/day, priority support, 50% off instant-payout fees. Legacy Pro plan closed to new subscribers.
• At-the-door (Organizer app) fees only for AUD/CAD/GBP/USD events: US $1/paid ticket + 2.9% per order; CA C$1 + 2.9%; UK GBP 0.50 + 1.6% per order; AU A$1.00 + 2% per order; free for offline cash/cheque; processing fee cannot be passed on in the app.</t>
        </is>
      </c>
      <c r="S12" s="2" t="inlineStr">
        <is>
          <t>• {"name": "Email marketing (Pro)", "price": "from $15/month US, from GBP 12/month UK (pricing page)"}
• {"name": "Eventbrite Premium", "price": "see fine print"}
• {"name": "Eventbrite Ads", "price": "pay per daily budget"}</t>
        </is>
      </c>
      <c r="T12" s="2" t="inlineStr">
        <is>
          <t>Contact Sales Partnerships for large or complex events; price not public</t>
        </is>
      </c>
      <c r="U12" s="2" t="inlineStr">
        <is>
          <t>global self-serve marketplace + ticketing; organizers of every size; buyer pays fees by default; strongest consumer discovery audience (claims 89M monthly users)</t>
        </is>
      </c>
      <c r="V12" s="2" t="inlineStr">
        <is>
          <t>page</t>
        </is>
      </c>
      <c r="W12" s="2" t="inlineStr">
        <is>
          <t>https://www.eventbrite.com/help/en-us/articles/755615/how-much-does-it-cost-for-organizers-to-use-eventbrite/ (help centre: Ticketing Fees per country (primary))
https://www.eventbrite.com/help/en-us/articles/193833/eventbrites-new-pricing-plans/ (help centre: pricing and plans / Premium)
https://www.eventbrite.com/help/en-us/articles/548304/is-the-eventbrite-fee-refundable/ (help centre: is the fee refundable)
https://hi.events/ticketing-platform-payouts (third-party payout comparison (Hi.Events, a competitor))
https://www.eventbrite.com/organizer/pricing/ (pricing page)</t>
        </is>
      </c>
    </row>
    <row r="13">
      <c r="A13" s="2" t="inlineStr">
        <is>
          <t>Глобальные self-serve</t>
        </is>
      </c>
      <c r="B13" s="22" t="inlineStr">
        <is>
          <t>Zeffy</t>
        </is>
      </c>
      <c r="C13" s="2" t="inlineStr">
        <is>
          <t>https://www.zeffy.com</t>
        </is>
      </c>
      <c r="D13" s="2" t="inlineStr">
        <is>
          <t>US/Canada (nonprofits) and UK (charities)</t>
        </is>
      </c>
      <c r="E13" s="2" t="inlineStr">
        <is>
          <t>USD / CAD / GBP</t>
        </is>
      </c>
      <c r="F13" s="2" t="inlineStr">
        <is>
          <t>собирает на себя</t>
        </is>
      </c>
      <c r="G13" s="2" t="inlineStr">
        <is>
          <t>Zeffy processes the payments (Stripe-based) and pays the organization; revenue comes only from an optional contribution added at checkout. Payout (third-party summary): weekly by default after a fraud review of 1-3 business days; reserve terms not captured.</t>
        </is>
      </c>
      <c r="H13" s="2" t="inlineStr">
        <is>
          <t>free_buyer_pays</t>
        </is>
      </c>
      <c r="I13" s="2" t="inlineStr">
        <is>
          <t>• Free (only plan): 0.0% +0.0 — Every feature (ticketing, donation forms, raffles, auctions, membership, peer-to-peer, CRM, email) with no paid tier — Zeffy covers card and transaction fees; revenue = optional donor contribution</t>
        </is>
      </c>
      <c r="J13" s="2" t="inlineStr"/>
      <c r="K13" s="2" t="inlineStr">
        <is>
          <t>включён: True; свой процессинг: False; Zeffy payments (Stripe-based); Zeffy says it covers card/transaction fees; the buyer/donor may add a voluntary contribution; доп. сбор: none from organizer</t>
        </is>
      </c>
      <c r="L13" s="2" t="inlineStr">
        <is>
          <t>buyer/donor (optional tip added at the payment-confirmation step; on average 2 of 3 donors tip)</t>
        </is>
      </c>
      <c r="M13" s="2" t="inlineStr">
        <is>
          <t>Free tickets free (no fee for anyone).</t>
        </is>
      </c>
      <c r="N13" s="2" t="inlineStr">
        <is>
          <t>not stated on pricing page (numbered tickets for raffles supported); no surcharge since no fees</t>
        </is>
      </c>
      <c r="O13" s="2" t="inlineStr">
        <is>
          <t>Weekly by default after fraud review (third-party Hi.Events payout comparison, 2026-09).</t>
        </is>
      </c>
      <c r="P13" s="2" t="inlineStr">
        <is>
          <t>Organization receives 100% of the money raised whether or not the donor tips; refund/chargeback fees not captured.</t>
        </is>
      </c>
      <c r="Q13" s="2" t="inlineStr">
        <is>
          <t>pricing pages state 'Our price is $0' / 'GBP 0'</t>
        </is>
      </c>
      <c r="R13" s="2" t="inlineStr">
        <is>
          <t>• Only for registered nonprofits/charities; commercial organizers are not eligible.
• The tip is optional, labelled and adjustable/removable at checkout; critics call tip prompts potentially misleading (UK charity forum snippet).
• Zeffy's own comparison widgets quote Eventbrite US as 3.7% + $1.79 + 2.9% and a UK alternative as 6.95% + GBP 0.59 per ticket.</t>
        </is>
      </c>
      <c r="S13" s="2" t="inlineStr"/>
      <c r="T13" s="2" t="inlineStr"/>
      <c r="U13" s="2" t="inlineStr">
        <is>
          <t>registered nonprofits and charities only (US, Canada, UK, France etc.); fundraising + ticketing; 'free' via optional donor tip</t>
        </is>
      </c>
      <c r="V13" s="2" t="inlineStr">
        <is>
          <t>page</t>
        </is>
      </c>
      <c r="W13" s="2" t="inlineStr">
        <is>
          <t>https://www.zeffy.com/pricing (US/CA pricing page)
https://www.zeffy.com/en-gb/pricing (UK pricing page)
https://hi.events/ticketing-platform-payouts (third-party payout comparison)</t>
        </is>
      </c>
    </row>
    <row r="14">
      <c r="A14" s="2" t="inlineStr">
        <is>
          <t>Глобальные self-serve</t>
        </is>
      </c>
      <c r="B14" s="22" t="inlineStr">
        <is>
          <t>Ticketleap</t>
        </is>
      </c>
      <c r="C14" s="2" t="inlineStr">
        <is>
          <t>https://www.ticketleap.com</t>
        </is>
      </c>
      <c r="D14" s="2" t="inlineStr">
        <is>
          <t>US</t>
        </is>
      </c>
      <c r="E14" s="2" t="inlineStr">
        <is>
          <t>USD</t>
        </is>
      </c>
      <c r="F14" s="2" t="inlineStr">
        <is>
          <t>собирает на себя</t>
        </is>
      </c>
      <c r="G14" s="2" t="inlineStr">
        <is>
          <t>TicketLeap collects via Stripe and pays the organizer 4-7 business days after the event ends (protection against fraud/chargebacks). Fee charged to buyer or organizer.</t>
        </is>
      </c>
      <c r="H14" s="2" t="inlineStr">
        <is>
          <t>percent_plus_fixed</t>
        </is>
      </c>
      <c r="I14" s="2" t="inlineStr">
        <is>
          <t>• Standard: 2.0% +1.0 потолок 20.0 — Full platform incl. reserved seating, scanning/box office apps, chargeback management — PLUS 3% online transaction fee per order; max $20 of ticketing fees per ticket (from a Google snippet of the pricing page; not repeated in the scraped text)
• Tickets $5 or below: +0.49 — Flat $0.49 + 3% transaction fee
• On-site (box office app) sales: +1.0 — $1 per ticket on site ($0.49 for tickets of $5 or less)</t>
        </is>
      </c>
      <c r="J14" s="2" t="inlineStr"/>
      <c r="K14" s="2" t="inlineStr">
        <is>
          <t>включён: True; свой процессинг: False; Stripe (via TicketLeap); 3% online transaction fee per order (may be $0.01 higher due to rounding)</t>
        </is>
      </c>
      <c r="L14" s="2" t="inlineStr">
        <is>
          <t>configurable (pass to buyers = free for organizer)</t>
        </is>
      </c>
      <c r="M14" s="2" t="inlineStr">
        <is>
          <t>Free events free.</t>
        </is>
      </c>
      <c r="N14" s="2" t="inlineStr">
        <is>
          <t>Reserved seating listed among free features; no surcharge stated.</t>
        </is>
      </c>
      <c r="O14" s="2" t="inlineStr">
        <is>
          <t>4-7 business days after the event ends (Stripe).</t>
        </is>
      </c>
      <c r="P14" s="2" t="inlineStr">
        <is>
          <t>Chargeback management included; fee refund policy not captured.</t>
        </is>
      </c>
      <c r="Q14" s="2" t="inlineStr">
        <is>
          <t>prices excl. tax; organizer can add sales tax as a checkout line item</t>
        </is>
      </c>
      <c r="R14" s="2" t="inlineStr">
        <is>
          <t>• Free events always free; no contracts or subscriptions; every organizer gets the full tool set.
• Payouts only AFTER the event (4-7 business days) via Stripe; justified by chargeback protection; TicketLeap has a risk manager fighting chargebacks.
• Third-party reviews mention an older $1.50 per ticket and a '2% + $1 + 3% card' structure.</t>
        </is>
      </c>
      <c r="S14" s="2" t="inlineStr"/>
      <c r="T14" s="2" t="inlineStr"/>
      <c r="U14" s="2" t="inlineStr">
        <is>
          <t>US/AU event organizers (classes, farms, haunts, churches, festivals); low fee, payouts after event</t>
        </is>
      </c>
      <c r="V14" s="2" t="inlineStr">
        <is>
          <t>page</t>
        </is>
      </c>
      <c r="W14" s="2" t="inlineStr">
        <is>
          <t>https://www.ticketleap.com/info/pricing/ (US pricing page)
https://www.ticketleap.com/ (homepage)</t>
        </is>
      </c>
    </row>
    <row r="15">
      <c r="A15" s="2" t="inlineStr">
        <is>
          <t>Глобальные self-serve</t>
        </is>
      </c>
      <c r="B15" s="22" t="inlineStr">
        <is>
          <t>Ticketleap</t>
        </is>
      </c>
      <c r="C15" s="2" t="inlineStr">
        <is>
          <t>https://www.ticketleap.com</t>
        </is>
      </c>
      <c r="D15" s="2" t="inlineStr">
        <is>
          <t>Australia</t>
        </is>
      </c>
      <c r="E15" s="2" t="inlineStr">
        <is>
          <t>AUD (page shows '$')</t>
        </is>
      </c>
      <c r="F15" s="2" t="inlineStr">
        <is>
          <t>собирает на себя</t>
        </is>
      </c>
      <c r="G15" s="2" t="inlineStr">
        <is>
          <t>As US: Stripe, payout 4-7 business days after the event.</t>
        </is>
      </c>
      <c r="H15" s="2" t="inlineStr">
        <is>
          <t>percent_plus_fixed</t>
        </is>
      </c>
      <c r="I15" s="2" t="inlineStr">
        <is>
          <t>• Standard: 5.0% +1.0 — Full platform — Page: '$1 + 5% of the event ticket price'; a 3% fee applies to tickets of $5 and below
• Tickets $5 or below: 3.0% +0.49 — $0.49 + 3%
• On-site sales: 3.0% +0.0 — 3% only for on-site sales</t>
        </is>
      </c>
      <c r="J15" s="2" t="inlineStr"/>
      <c r="K15" s="2" t="inlineStr">
        <is>
          <t>включён: True; свой процессинг: False; Stripe; Card cost treatment not stated separately in AU (3% shown on reduced tiers)</t>
        </is>
      </c>
      <c r="L15" s="2" t="inlineStr">
        <is>
          <t>configurable</t>
        </is>
      </c>
      <c r="M15" s="2" t="inlineStr">
        <is>
          <t>Free events free.</t>
        </is>
      </c>
      <c r="N15" s="2" t="inlineStr">
        <is>
          <t>Reserved seating offered (US solution page lists it).</t>
        </is>
      </c>
      <c r="O15" s="2" t="inlineStr">
        <is>
          <t>4-7 business days after event.</t>
        </is>
      </c>
      <c r="P15" s="2" t="inlineStr">
        <is>
          <t>Chargeback management included.</t>
        </is>
      </c>
      <c r="Q15" s="2" t="inlineStr">
        <is>
          <t>GST treatment not stated</t>
        </is>
      </c>
      <c r="R15" s="2" t="inlineStr">
        <is>
          <t>• Free events always free; no contracts or subscriptions; every organizer gets the full tool set.
• Payouts only AFTER the event (4-7 business days) via Stripe; justified by chargeback protection; TicketLeap has a risk manager fighting chargebacks.</t>
        </is>
      </c>
      <c r="S15" s="2" t="inlineStr"/>
      <c r="T15" s="2" t="inlineStr"/>
      <c r="U15" s="2" t="inlineStr">
        <is>
          <t>US/AU event organizers (classes, farms, haunts, churches, festivals); low fee, payouts after event</t>
        </is>
      </c>
      <c r="V15" s="2" t="inlineStr">
        <is>
          <t>page</t>
        </is>
      </c>
      <c r="W15" s="2" t="inlineStr">
        <is>
          <t>https://www.ticketleap.au/info/pricing/ (AU pricing page)</t>
        </is>
      </c>
    </row>
    <row r="16">
      <c r="A16" s="2" t="inlineStr">
        <is>
          <t>Глобальные self-serve</t>
        </is>
      </c>
      <c r="B16" s="22" t="inlineStr">
        <is>
          <t>Posh (posh.vip)</t>
        </is>
      </c>
      <c r="C16" s="2" t="inlineStr">
        <is>
          <t>https://posh.vip</t>
        </is>
      </c>
      <c r="D16" s="2" t="inlineStr">
        <is>
          <t>US</t>
        </is>
      </c>
      <c r="E16" s="2" t="inlineStr">
        <is>
          <t>USD</t>
        </is>
      </c>
      <c r="F16" s="2" t="inlineStr">
        <is>
          <t>собирает на себя</t>
        </is>
      </c>
      <c r="G16" s="2" t="inlineStr">
        <is>
          <t>Posh takes payment through Stripe managed by Posh; funds available to the organizer 24-48 business hours after purchase (as tickets sell); standard payouts free, instant payout costs 5% (third-party).</t>
        </is>
      </c>
      <c r="H16" s="2" t="inlineStr">
        <is>
          <t>percent_plus_fixed</t>
        </is>
      </c>
      <c r="I16" s="2" t="inlineStr">
        <is>
          <t>• Standard: 10.0% +0.99 — Fee covers card processing; tables/seating maps, scanner PINs, tap-to-pay, Kickback promoter program — Always added to the base price and shown to buyers as one price; $2.99 on a $20 ticket (Luma's comparison page, July 2026)</t>
        </is>
      </c>
      <c r="J16" s="2" t="inlineStr"/>
      <c r="K16" s="2" t="inlineStr">
        <is>
          <t>включён: True; свой процессинг: False; Stripe (managed through Posh); processing bundled into 10% + $0.99</t>
        </is>
      </c>
      <c r="L16" s="2" t="inlineStr">
        <is>
          <t>buyer (always; added to base price)</t>
        </is>
      </c>
      <c r="M16" s="2" t="inlineStr">
        <is>
          <t>Free tickets free.</t>
        </is>
      </c>
      <c r="N16" s="2" t="inlineStr">
        <is>
          <t>Tables and bottle service with seating maps supported; surcharge not stated</t>
        </is>
      </c>
      <c r="O16" s="2" t="inlineStr">
        <is>
          <t>Available 24-48 business hours after purchase; instant payout 5% (third_party).</t>
        </is>
      </c>
      <c r="P16" s="2" t="inlineStr">
        <is>
          <t>not captured</t>
        </is>
      </c>
      <c r="Q16" s="2" t="inlineStr">
        <is>
          <t>fee baked into the displayed ticket price</t>
        </is>
      </c>
      <c r="R16" s="2" t="inlineStr">
        <is>
          <t>• Posh's own /pricing page returned only a title in the scrape; numbers come from Luma's July 2026 comparison page and Hi.Events (both competitors): mark third_party.
• Kickback: affiliates earn commission per ticket sold and Posh keeps a cut of each payout (Luma comparison page).
• Mainly US/USD; EUR/GBP/AUD rates are conversions by Hi.Events, not published by Posh.</t>
        </is>
      </c>
      <c r="S16" s="2" t="inlineStr"/>
      <c r="T16" s="2" t="inlineStr"/>
      <c r="U16" s="2" t="inlineStr">
        <is>
          <t>US nightlife, club nights, day parties, promoter-driven events; fee baked into displayed price; promoter 'Kickback' affiliate feature</t>
        </is>
      </c>
      <c r="V16" s="2" t="inlineStr">
        <is>
          <t>third_party</t>
        </is>
      </c>
      <c r="W16" s="2" t="inlineStr">
        <is>
          <t>https://help.luma.com/p/luma-vs-posh (competitor (Luma) comparison page, pricing checked July 2026)
https://hi.events/fees/posh (third-party fee page (Hi.Events))</t>
        </is>
      </c>
    </row>
    <row r="17">
      <c r="A17" s="2" t="inlineStr">
        <is>
          <t>Глобальные self-serve</t>
        </is>
      </c>
      <c r="B17" s="22" t="inlineStr">
        <is>
          <t>Billetto</t>
        </is>
      </c>
      <c r="C17" s="2" t="inlineStr">
        <is>
          <t>https://billetto.com</t>
        </is>
      </c>
      <c r="D17" s="2" t="inlineStr">
        <is>
          <t>Europe (EUR)</t>
        </is>
      </c>
      <c r="E17" s="2" t="inlineStr">
        <is>
          <t>EUR</t>
        </is>
      </c>
      <c r="F17" s="2" t="inlineStr">
        <is>
          <t>собирает на себя</t>
        </is>
      </c>
      <c r="G17" s="2" t="inlineStr">
        <is>
          <t>Billetto collects the money and pays the organizer 3-5 working days AFTER the event ends with a fee breakdown; Growth plan (1,000+ tickets/yr) can get prepayment: the majority of ticket revenue paid before the event. Reserve terms for prepayment not published.</t>
        </is>
      </c>
      <c r="H17" s="2" t="inlineStr">
        <is>
          <t>percent_plus_fixed</t>
        </is>
      </c>
      <c r="I17" s="2" t="inlineStr">
        <is>
          <t>• Essential (up to 1,000 tickets/year): 3.99% +0.9 — Marketplace listing, pay-per-sale advertising, email+SMS campaigns, premium support, widget for own site — Ticket buyer pays 3.99% + EUR 0.90 per ticket (excl. VAT); organizer may absorb
• Growth (1,000+ tickets/year): 3.99% +0.9 — Everything in Essential + prepayment, customer success manager, manual ad campaigns, premium homepage placement — '3.99% + EUR 0.90 per ticket, or less': custom rates for high-volume/higher-value tickets</t>
        </is>
      </c>
      <c r="J17" s="2" t="inlineStr"/>
      <c r="K17" s="2" t="inlineStr">
        <is>
          <t>включён: True; свой процессинг: False; Visa, Mastercard, Apple Pay, Google Pay, PayPal, MobilePay, Swish, Vipps, iDEAL/Wero; Processing included in the booking fee (local methods by country)</t>
        </is>
      </c>
      <c r="L17" s="2" t="inlineStr">
        <is>
          <t>buyer (organizer can switch to absorb: all-in price)</t>
        </is>
      </c>
      <c r="M17" s="2" t="inlineStr">
        <is>
          <t>Free events: free (no fee stated).</t>
        </is>
      </c>
      <c r="N17" s="2" t="inlineStr">
        <is>
          <t>not mentioned on pricing page (null)</t>
        </is>
      </c>
      <c r="O17" s="2" t="inlineStr">
        <is>
          <t>3-5 working days after the event ends; Growth plan: majority prepaid before event.</t>
        </is>
      </c>
      <c r="P17" s="2" t="inlineStr">
        <is>
          <t>Organizer sets refund terms; refunds usually within 5 working days; booking fees can be refunded to attendees on request.</t>
        </is>
      </c>
      <c r="Q17" s="2" t="inlineStr">
        <is>
          <t>prices exclude VAT</t>
        </is>
      </c>
      <c r="R17" s="2" t="inlineStr">
        <is>
          <t>• No monthly fee, no setup fee.
• Billetto POS 2.0: Adyen terminal EUR 199 each, optional ticket printer EUR 270 each, one-off, no monthly hardware fee.
• Pay-per-sale advertising: you pay only when Billetto sells a ticket via its ads (rate not on page read; average +21% tickets claimed).
• An older third-party UK reading of 5% + 29p per ticket (ticketingfees.co.uk) predates the current 3.99% + 0.90 structure.</t>
        </is>
      </c>
      <c r="S17" s="2" t="inlineStr">
        <is>
          <t>• {"name": "POS terminal", "price": "EUR 199"}
• {"name": "Ticket printer", "price": "EUR 270"}</t>
        </is>
      </c>
      <c r="T17" s="2" t="inlineStr">
        <is>
          <t>'Talk to us' custom rates for high-volume or higher-value tickets</t>
        </is>
      </c>
      <c r="U17" s="2" t="inlineStr">
        <is>
          <t>event marketplace across 14 European markets (DK, SE, NO, UK, IE, FI, DE, AT, BE, NL, FR, ES, PT, IT); free for organizers, buyer pays booking fee; pay-per-sale advertising</t>
        </is>
      </c>
      <c r="V17" s="2" t="inlineStr">
        <is>
          <t>page</t>
        </is>
      </c>
      <c r="W17" s="2" t="inlineStr">
        <is>
          <t>https://go.billetto.com/pricing (pricing page (go.billetto.com))</t>
        </is>
      </c>
    </row>
    <row r="18">
      <c r="A18" s="2" t="inlineStr">
        <is>
          <t>Глобальные self-serve</t>
        </is>
      </c>
      <c r="B18" s="22" t="inlineStr">
        <is>
          <t>Billetto</t>
        </is>
      </c>
      <c r="C18" s="2" t="inlineStr">
        <is>
          <t>https://billetto.com</t>
        </is>
      </c>
      <c r="D18" s="2" t="inlineStr">
        <is>
          <t>United Kingdom</t>
        </is>
      </c>
      <c r="E18" s="2" t="inlineStr">
        <is>
          <t>GBP</t>
        </is>
      </c>
      <c r="F18" s="2" t="inlineStr">
        <is>
          <t>собирает на себя</t>
        </is>
      </c>
      <c r="G18" s="2" t="inlineStr">
        <is>
          <t>As Europe.</t>
        </is>
      </c>
      <c r="H18" s="2" t="inlineStr">
        <is>
          <t>percent_plus_fixed</t>
        </is>
      </c>
      <c r="I18" s="2" t="inlineStr">
        <is>
          <t>• Essential/Growth: 3.99% +0.9 — as Europe — GBP 0.90 only from a Google snippet of a third-party (TixFox) post 'Billetto Fees in 2026: 3.99% + 90p'; billetto.co.uk/pages/pricing returned 404</t>
        </is>
      </c>
      <c r="J18" s="2" t="inlineStr"/>
      <c r="K18" s="2" t="inlineStr">
        <is>
          <t>включён: True; свой процессинг: False; Cards, PayPal, Apple/Google Pay; included</t>
        </is>
      </c>
      <c r="L18" s="2" t="inlineStr">
        <is>
          <t>buyer</t>
        </is>
      </c>
      <c r="M18" s="2" t="inlineStr">
        <is>
          <t>free events free</t>
        </is>
      </c>
      <c r="N18" s="2" t="inlineStr"/>
      <c r="O18" s="2" t="inlineStr">
        <is>
          <t>3-5 working days after event</t>
        </is>
      </c>
      <c r="P18" s="2" t="inlineStr">
        <is>
          <t>As Europe.</t>
        </is>
      </c>
      <c r="Q18" s="2" t="inlineStr">
        <is>
          <t>prices exclude VAT</t>
        </is>
      </c>
      <c r="R18" s="2" t="inlineStr">
        <is>
          <t>• Currency-specific page not read</t>
        </is>
      </c>
      <c r="S18" s="2" t="inlineStr"/>
      <c r="T18" s="2" t="inlineStr"/>
      <c r="U18" s="2" t="inlineStr">
        <is>
          <t>event marketplace across 14 European markets (DK, SE, NO, UK, IE, FI, DE, AT, BE, NL, FR, ES, PT, IT); free for organizers, buyer pays booking fee; pay-per-sale advertising</t>
        </is>
      </c>
      <c r="V18" s="2" t="inlineStr">
        <is>
          <t>snippet</t>
        </is>
      </c>
      <c r="W18" s="2" t="inlineStr">
        <is>
          <t>https://tixfox.co/blog/billetto-fees (third-party snippet (page not opened))</t>
        </is>
      </c>
    </row>
    <row r="19">
      <c r="A19" s="2" t="inlineStr">
        <is>
          <t>Глобальные self-serve</t>
        </is>
      </c>
      <c r="B19" s="22" t="inlineStr">
        <is>
          <t>Eventix (now Weeztix)</t>
        </is>
      </c>
      <c r="C19" s="2" t="inlineStr">
        <is>
          <t>https://weeztix.com</t>
        </is>
      </c>
      <c r="D19" s="2" t="inlineStr">
        <is>
          <t>European Union / UK / selected countries</t>
        </is>
      </c>
      <c r="E19" s="2" t="inlineStr">
        <is>
          <t>EUR (GBP in UK)</t>
        </is>
      </c>
      <c r="F19" s="2" t="inlineStr">
        <is>
          <t>собирает на себя</t>
        </is>
      </c>
      <c r="G19" s="2" t="inlineStr">
        <is>
          <t>Weeztix collects through PSPs it chooses per event/region (Adyen, Stripe, Pay.nl, Iyzico) acting as agent; payout frequency chosen by the organizer subject to the PSP's settlement delay (new organizers: at least 5 business days for the first 30 days, later about 2). Default reserve: at least 10% of ticket revenue held until AFTER the event date; additional rolling reserve possible (e.g. above EUR 150,000/month); payout term can be extended up to 180 days on risk; KYC required before payouts.</t>
        </is>
      </c>
      <c r="H19" s="2" t="inlineStr">
        <is>
          <t>mixed</t>
        </is>
      </c>
      <c r="I19" s="2" t="inlineStr">
        <is>
          <t>• Service costs per ticket (T&amp;C): +0.67 — EU: EUR 0.67 incl. VAT; UK: GBP 0.67 incl. VAT — Fixed 'Service Costs' on top of the ticket price, charged to buyer or organizer
• Booking costs (% of transaction): 3.85% — % of total transaction incl. VAT: Ireland 3.85, UK 3.85, Denmark 2.20, Sweden 2.20, Norway 2.20, Netherlands 1.80, Belgium 2.80, Spain 3.50, Germany 6.70, other Europe 3.85 — Per-country percentage; Germany highest, Netherlands lowest
• Free events: +0.0 — First 5,000 free tickets per account free, then EUR 0.20 excl. VAT per ticket; no phone/email support for free events (fair-use clause)</t>
        </is>
      </c>
      <c r="J19" s="2" t="inlineStr"/>
      <c r="K19" s="2" t="inlineStr">
        <is>
          <t>включён: True; свой процессинг: False; Adyen, Stripe, Pay.nl, Iyzico; No transaction costs for iDEAL, Sofort, Bancontact and consumer credit cards; Klarna Pay Later EUR/GBP 1.50 + 3.7%; PayPal 0.35 + 2.1%; pay on invoice 1.50 + 5.5%; corporate and non-EEA cards 0.35 + 3.63%</t>
        </is>
      </c>
      <c r="L19" s="2" t="inlineStr">
        <is>
          <t>buyer by default (organizer can absorb service+booking costs in the ticket price)</t>
        </is>
      </c>
      <c r="M19" s="2" t="inlineStr">
        <is>
          <t>First 5,000 free tickets/year free, then EUR 0.20 excl. VAT per ticket.</t>
        </is>
      </c>
      <c r="N19" s="2" t="inlineStr">
        <is>
          <t>Seated tickets: extra fees apply (EUR 0.14 excl. VAT per ticket per an organiser-terms snippet; pricing page marks seating features 'Extra fees apply')</t>
        </is>
      </c>
      <c r="O19" s="2" t="inlineStr">
        <is>
          <t>PSP settlement T+2 after a 30-day probation (T+5), 10% held until after the event, risk-based reserves; 2% conversion fee if payout currency differs.</t>
        </is>
      </c>
      <c r="P19" s="2" t="inlineStr">
        <is>
          <t>If the organizer cancels an event, Weeztix refunds none of the service, booking or transaction costs; organizer's balance must cover refunds; invoices to organizer have a 14-day objection window.</t>
        </is>
      </c>
      <c r="Q19" s="2" t="inlineStr">
        <is>
          <t>service and booking costs in the T&amp;C are stated INCLUDING VAT; pricing page has Excl./Incl. VAT columns</t>
        </is>
      </c>
      <c r="R19" s="2" t="inlineStr">
        <is>
          <t>• The pricing page shows tiered per-ticket prices by yearly volume (5,000-10,000, 10,000-15,000, 15,000+ tickets/year) but the numbers are script-rendered and were not captured; some tiers say 'Request quote'.
• Organizer may add its own Kickback surcharge, collected by Weeztix.
• Scanner and powerbank rental EUR 45/day excl. VAT; on-site manager EUR 55/hour excl. VAT.
• Weeztix may adjust rates unilaterally 'if there is reason to do so'.
• eventix.cloud (Barbados) is an unrelated company and was not used.</t>
        </is>
      </c>
      <c r="S19" s="2" t="inlineStr">
        <is>
          <t>• {"name": "Scanner + powerbank rental", "price": "EUR 45/day excl VAT"}
• {"name": "On-site manager", "price": "EUR 55/hour excl VAT"}
• {"name": "Seat selection module", "price": "EUR 0.14 excl VAT per ticket (snippet)"}</t>
        </is>
      </c>
      <c r="T19" s="2" t="inlineStr">
        <is>
          <t>Demo/quote for volume tiers; per-ticket headline prices not public in rendered text</t>
        </is>
      </c>
      <c r="U19" s="2" t="inlineStr">
        <is>
          <t>Dutch/EU festivals, clubs, concerts, venues; part of the Weezevent Group; eventix.io redirects to Weeztix</t>
        </is>
      </c>
      <c r="V19" s="2" t="inlineStr">
        <is>
          <t>page</t>
        </is>
      </c>
      <c r="W19" s="2" t="inlineStr">
        <is>
          <t>https://weeztix.com/organiser-terms (organiser terms and conditions (primary for amounts))
https://weeztix.com/pricing (pricing page (numbers not rendered))</t>
        </is>
      </c>
    </row>
    <row r="20">
      <c r="A20" s="2" t="inlineStr">
        <is>
          <t>Театры и рассадка</t>
        </is>
      </c>
      <c r="B20" s="22" t="inlineStr">
        <is>
          <t>Ludus</t>
        </is>
      </c>
      <c r="C20" s="2" t="inlineStr">
        <is>
          <t>https://www.ludus.com</t>
        </is>
      </c>
      <c r="D20" s="2" t="inlineStr">
        <is>
          <t>US</t>
        </is>
      </c>
      <c r="E20" s="2" t="inlineStr">
        <is>
          <t>USD</t>
        </is>
      </c>
      <c r="F20" s="2" t="inlineStr">
        <is>
          <t>собирает на себя</t>
        </is>
      </c>
      <c r="G20" s="2" t="inlineStr">
        <is>
          <t>Ludus processes cards and pays the organizer: direct deposit daily/weekly/monthly or one lump sum at event end, or a mailed check after the event. Ludus handles chargebacks itself. Card processing is bundled into the 5% + $0.75.</t>
        </is>
      </c>
      <c r="H20" s="2" t="inlineStr">
        <is>
          <t>percent_plus_fixed</t>
        </is>
      </c>
      <c r="I20" s="2" t="inlineStr">
        <is>
          <t>• Standard (tickets, collections, add-ons, passes, gift cards): 5.0% +0.75 — unlimited events, seating charts, users, ticket types; CRM, concessions, fundraising, volunteer mgmt, 7-day support — processing already included; +$0.05 per item if Marketing/Classes/Embed Widget/Ask My Data premium features used
• Micro fee (items $3 or less): +0.5 — overrides the 5%+$0.75 for tickets, collections, add-ons, passes and donations
• Macro fee (collection/class items $200+): 3.5% +0.5 — example in docs: $250 class = $9.25 fee
• Donations: 3.5% +0.5 — absorbed by org; 0% when Donor Tips feature used
• Retail / concessions: 2.9% +0.3 — per transaction
• Invoicing feature: 5.0% +1.25 — per transaction
• Payment plans: 5.0% +1.25 — per payment</t>
        </is>
      </c>
      <c r="J20" s="2" t="inlineStr"/>
      <c r="K20" s="2" t="inlineStr">
        <is>
          <t>включён: True; свой процессинг: False; Ludus (own card processing and terminals); No separate processing fee; 5% + $0.75 covers it</t>
        </is>
      </c>
      <c r="L20" s="2" t="inlineStr">
        <is>
          <t>configurable</t>
        </is>
      </c>
      <c r="M20" s="2" t="inlineStr">
        <is>
          <t>$0 fees for comp/$0 tickets, cash sales and free events; fundraisers with Donor Tips $0</t>
        </is>
      </c>
      <c r="N20" s="2" t="inlineStr">
        <is>
          <t>Unlimited seating charts included; no chart creation or change fees</t>
        </is>
      </c>
      <c r="O20" s="2" t="inlineStr">
        <is>
          <t>Direct deposit daily, weekly, monthly or lump sum after event; mailed check after event; no payout fee, no minimums</t>
        </is>
      </c>
      <c r="P20" s="2" t="inlineStr">
        <is>
          <t>Chargebacks $0 - Ludus handles and fights them; lost-check reissue free. Whether the platform fee is refunded with a ticket is not stated</t>
        </is>
      </c>
      <c r="Q20" s="2" t="inlineStr">
        <is>
          <t>not stated</t>
        </is>
      </c>
      <c r="R20" s="2" t="inlineStr">
        <is>
          <t>• Marketing: 'free for orgs that pass on fees'
• On a $10 ticket patron pays $11.25 (fee passes to patron) org gets $10.00
• No contracts unless requested, no setup/onboarding/annual fees
• Premium features add $0.05 per item only to the standard 5%+$0.75 category</t>
        </is>
      </c>
      <c r="S20" s="2" t="inlineStr">
        <is>
          <t>• {"name": "BBPOS WisePOS terminal", "price": "$299"}
• {"name": "Ethernet dock", "price": "$59"}
• {"name": "Mobile card reader", "price": "$79"}
• {"name": "Boca thermal ticket stock", "price": "$25 per 1,000"}
• {"name": "DYMO thermal ticket stock", "price": "$25 per 500"}</t>
        </is>
      </c>
      <c r="T20" s="2" t="inlineStr">
        <is>
          <t>none; no volume tiers published</t>
        </is>
      </c>
      <c r="U20" s="2" t="inlineStr">
        <is>
          <t>schools, community/regional theatres, dance studios, music ensembles; free to organizer when fees passed to buyer</t>
        </is>
      </c>
      <c r="V20" s="2" t="inlineStr">
        <is>
          <t>page</t>
        </is>
      </c>
      <c r="W20" s="2" t="inlineStr">
        <is>
          <t>https://hello.ludus.com/pricing (pricing page)
https://support.ludus.com/ludus-pricing-table (full fee table (updated 15 Sep 2026))</t>
        </is>
      </c>
    </row>
    <row r="21">
      <c r="A21" s="2" t="inlineStr">
        <is>
          <t>Театры и рассадка</t>
        </is>
      </c>
      <c r="B21" s="22" t="inlineStr">
        <is>
          <t>Showpass</t>
        </is>
      </c>
      <c r="C21" s="2" t="inlineStr">
        <is>
          <t>https://www.showpass.com</t>
        </is>
      </c>
      <c r="D21" s="2" t="inlineStr">
        <is>
          <t>Canada / global (prices shown in CAD)</t>
        </is>
      </c>
      <c r="E21" s="2" t="inlineStr">
        <is>
          <t>CAD</t>
        </is>
      </c>
      <c r="F21" s="2" t="inlineStr">
        <is>
          <t>собирает на себя</t>
        </is>
      </c>
      <c r="G21" s="2" t="inlineStr">
        <is>
          <t>Showpass processes payments and pays out the Monday after the event ends, deposited the next business day; advance payouts available on request (terms apply).</t>
        </is>
      </c>
      <c r="H21" s="2" t="inlineStr">
        <is>
          <t>percent_plus_fixed</t>
        </is>
      </c>
      <c r="I21" s="2" t="inlineStr">
        <is>
          <t>• Essential: 1.0% +0.59 — unlimited events, branded pages/embed, real-time data — asterisk on price is not explained on the page; per redeemable item
• Professional: 2.5% +1.69 — Essential + ticket packages, ASSIGNED SEATING MAPS, tracking links, add-ons (food tokens, merch), waitlist — seating maps only from this tier
• Premium:  — Professional + group sales, memberships, buy-now-pay-later, on-site hardware, dedicated support — custom pricing, contact sales</t>
        </is>
      </c>
      <c r="J21" s="2" t="inlineStr"/>
      <c r="K21" s="2" t="inlineStr">
        <is>
          <t>включён: False; свой процессинг: False; Showpass (card), Square at the door; 2.9% + CA$0.30 per paid item card processing on top of the service fee</t>
        </is>
      </c>
      <c r="L21" s="2" t="inlineStr">
        <is>
          <t>configurable</t>
        </is>
      </c>
      <c r="M21" s="2" t="inlineStr">
        <is>
          <t>Free to use for free events</t>
        </is>
      </c>
      <c r="N21" s="2" t="inlineStr">
        <is>
          <t>Assigned seating maps unlocked only on Professional (2.5% + $1.69) and above; no separate setup fee stated</t>
        </is>
      </c>
      <c r="O21" s="2" t="inlineStr">
        <is>
          <t>Processed the Monday after the event ends, deposited next business day; advance payouts (terms apply)</t>
        </is>
      </c>
      <c r="P21" s="2" t="inlineStr">
        <is>
          <t>Not stated on the pricing page</t>
        </is>
      </c>
      <c r="Q21" s="2" t="inlineStr">
        <is>
          <t>payment processing fees and applicable taxes apply on top</t>
        </is>
      </c>
      <c r="R21" s="2" t="inlineStr">
        <is>
          <t>• No monthly or hidden fees, only service fee + processing fee per paid item
• Tickets can be sold in CAD, USD or EUR; prices shown in CAD; USD/EUR price points not published
• Fee can be passed on fully, partially or absorbed (hidden from checkout)
• Tier can be changed anytime via support; no free trial
• 'Showpass Discovery' placement free</t>
        </is>
      </c>
      <c r="S21" s="2" t="inlineStr"/>
      <c r="T21" s="2" t="inlineStr">
        <is>
          <t>Premium: custom pricing</t>
        </is>
      </c>
      <c r="U21" s="2" t="inlineStr">
        <is>
          <t>Canadian-origin all-in-one ticketing for venues, festivals, promoters; tiered % + fixed per redeemable item</t>
        </is>
      </c>
      <c r="V21" s="2" t="inlineStr">
        <is>
          <t>page</t>
        </is>
      </c>
      <c r="W21" s="2" t="inlineStr">
        <is>
          <t>https://www.showpass.com/pricing/ (pricing page + FAQ)</t>
        </is>
      </c>
    </row>
    <row r="22">
      <c r="A22" s="2" t="inlineStr">
        <is>
          <t>Театры и рассадка</t>
        </is>
      </c>
      <c r="B22" s="22" t="inlineStr">
        <is>
          <t>Purplepass</t>
        </is>
      </c>
      <c r="C22" s="2" t="inlineStr">
        <is>
          <t>https://www.purplepass.com</t>
        </is>
      </c>
      <c r="D22" s="2" t="inlineStr">
        <is>
          <t>US (UI languages: English, Spanish, Russian)</t>
        </is>
      </c>
      <c r="E22" s="2" t="inlineStr">
        <is>
          <t>USD</t>
        </is>
      </c>
      <c r="F22" s="2" t="inlineStr">
        <is>
          <t>собирает на себя</t>
        </is>
      </c>
      <c r="G22" s="2" t="inlineStr">
        <is>
          <t>Inferred: pricing page lists Purplepass 'credit card processing' (3.0% online) so Purplepass processes the money. Payout timing/reserve not read (help article 'Payout Options' exists but was not opened).</t>
        </is>
      </c>
      <c r="H22" s="2" t="inlineStr">
        <is>
          <t>percent_plus_fixed</t>
        </is>
      </c>
      <c r="I22" s="2" t="inlineStr">
        <is>
          <t>• Online service fee - non-profit: 2.0% +0.99
• Online service fee - for-profit: 2.5% +0.99</t>
        </is>
      </c>
      <c r="J22" s="2" t="inlineStr"/>
      <c r="K22" s="2" t="inlineStr">
        <is>
          <t>включён: False; свой процессинг: None; Purplepass; Online 3.0%; box office 2.5% + $0.25 per transaction</t>
        </is>
      </c>
      <c r="L22" s="2" t="inlineStr"/>
      <c r="M22" s="2" t="inlineStr">
        <is>
          <t>No fees for free events or comp tickets</t>
        </is>
      </c>
      <c r="N22" s="2" t="inlineStr">
        <is>
          <t>Map building fees: none</t>
        </is>
      </c>
      <c r="O22" s="2" t="inlineStr"/>
      <c r="P22" s="2" t="inlineStr"/>
      <c r="Q22" s="2" t="inlineStr">
        <is>
          <t>not stated</t>
        </is>
      </c>
      <c r="R22" s="2" t="inlineStr">
        <is>
          <t>• Box office service fees: none
• Sign-up fees none, 24/7 support included, unlimited events and ticket types
• Pre-printed stock: thermal $0.10, full-colour custom $0.12; custom wristbands Tyvek $0.06, vinyl $0.12</t>
        </is>
      </c>
      <c r="S22" s="2" t="inlineStr"/>
      <c r="T22" s="2" t="inlineStr">
        <is>
          <t>demo request only</t>
        </is>
      </c>
      <c r="U22" s="2" t="inlineStr">
        <is>
          <t>events, performing arts, festivals, wristbands/printed tickets; % + $0.99 service fee</t>
        </is>
      </c>
      <c r="V22" s="2" t="inlineStr">
        <is>
          <t>page</t>
        </is>
      </c>
      <c r="W22" s="2" t="inlineStr">
        <is>
          <t>https://www.purplepass.com/learn/pricing/ (pricing page)
https://help.purplepass.com/hc/en-us/sections/21571175806103-Payment-and-Fees (help centre index (fee/payout articles not opened))</t>
        </is>
      </c>
    </row>
    <row r="23">
      <c r="A23" s="2" t="inlineStr">
        <is>
          <t>Театры и рассадка</t>
        </is>
      </c>
      <c r="B23" s="22" t="inlineStr">
        <is>
          <t>TicketPeak</t>
        </is>
      </c>
      <c r="C23" s="2" t="inlineStr">
        <is>
          <t>https://ticketpeak.com</t>
        </is>
      </c>
      <c r="D23" s="2" t="inlineStr">
        <is>
          <t>US</t>
        </is>
      </c>
      <c r="E23" s="2" t="inlineStr">
        <is>
          <t>USD</t>
        </is>
      </c>
      <c r="F23" s="2" t="inlineStr">
        <is>
          <t>собирает на себя</t>
        </is>
      </c>
      <c r="G23" s="2" t="inlineStr">
        <is>
          <t>Own claim: pays out every 2 weeks, BEFORE the event, as sales occur (the platform holds funds in between). No reserve described.</t>
        </is>
      </c>
      <c r="H23" s="2" t="inlineStr">
        <is>
          <t>percent_plus_fixed</t>
        </is>
      </c>
      <c r="I23" s="2" t="inlineStr">
        <is>
          <t>• Not-for-profit (2,000-50,000 tickets/yr): 1.5% +0.5
• Commercial venues (2,000-50,000 tickets/yr): 1.5% +0.75
• Large venues (over 50,000 tickets/yr):  — tailored pricing, contact sales</t>
        </is>
      </c>
      <c r="J23" s="2" t="inlineStr"/>
      <c r="K23" s="2" t="inlineStr">
        <is>
          <t>включён: None; свой процессинг: None; Not stated on pricing page; its own comparison tool says processing typically about 2.9% + $0.30</t>
        </is>
      </c>
      <c r="L23" s="2" t="inlineStr"/>
      <c r="M23" s="2" t="inlineStr"/>
      <c r="N23" s="2" t="inlineStr">
        <is>
          <t>Seating plan creation up to 700 seats is part of the $250 White Glove package</t>
        </is>
      </c>
      <c r="O23" s="2" t="inlineStr">
        <is>
          <t>Every 2 weeks, before the event (company's own statement)</t>
        </is>
      </c>
      <c r="P23" s="2" t="inlineStr"/>
      <c r="Q23" s="2" t="inlineStr">
        <is>
          <t>not stated</t>
        </is>
      </c>
      <c r="R23" s="2" t="inlineStr">
        <is>
          <t>• No contracts, cancel any time
• Pricing page shows only the 2,000-50,000 band; fee for under 2,000 tickets/yr not shown
• One hour of training free</t>
        </is>
      </c>
      <c r="S23" s="2" t="inlineStr">
        <is>
          <t>• {"name": "White Glove setup", "price": "$250: seating plan (up to 700 seats), up to 3 training sessions, revenue coaching"}</t>
        </is>
      </c>
      <c r="T23" s="2" t="inlineStr">
        <is>
          <t>over 50,000 tickets/yr: tailored</t>
        </is>
      </c>
      <c r="U23" s="2" t="inlineStr">
        <is>
          <t>community theatres, non-profit arts, schools, venues; % + fixed with volume bands and early payouts</t>
        </is>
      </c>
      <c r="V23" s="2" t="inlineStr">
        <is>
          <t>page</t>
        </is>
      </c>
      <c r="W23" s="2" t="inlineStr">
        <is>
          <t>https://ticketpeak.com/pricing/ (pricing page)
https://ticketpeak.com/when-do-ticketing-platforms-pay/ (payout article)
https://ticketpeak.com/pricing-comparison/ (comparison tool description)</t>
        </is>
      </c>
    </row>
    <row r="24">
      <c r="A24" s="2" t="inlineStr">
        <is>
          <t>Театры и рассадка</t>
        </is>
      </c>
      <c r="B24" s="22" t="inlineStr">
        <is>
          <t>Arts People (Neon One)</t>
        </is>
      </c>
      <c r="C24" s="2" t="inlineStr">
        <is>
          <t>https://neonone.com/products/arts-people/</t>
        </is>
      </c>
      <c r="D24" s="2" t="inlineStr">
        <is>
          <t>US/Canada/Australia (not verified)</t>
        </is>
      </c>
      <c r="E24" s="2" t="inlineStr">
        <is>
          <t>USD</t>
        </is>
      </c>
      <c r="F24" s="2" t="inlineStr">
        <is>
          <t>не выяснено</t>
        </is>
      </c>
      <c r="G24" s="2" t="inlineStr">
        <is>
          <t>Built-in payment processing via Neon Pay is advertised; payout timing and whether organizers can bring their own processor are not published.</t>
        </is>
      </c>
      <c r="H24" s="2" t="inlineStr">
        <is>
          <t>flat_per_ticket</t>
        </is>
      </c>
      <c r="I24" s="2" t="inlineStr">
        <is>
          <t>• Per-ticket: +0.99 — online ticketing, box office, fundraising, communications tools; native Neon CRM integration — plus 'transaction fees' (rate not published)</t>
        </is>
      </c>
      <c r="J24" s="2" t="inlineStr"/>
      <c r="K24" s="2" t="inlineStr">
        <is>
          <t>включён: None; свой процессинг: None; Neon Pay; transaction fee rate not published</t>
        </is>
      </c>
      <c r="L24" s="2" t="inlineStr"/>
      <c r="M24" s="2" t="inlineStr"/>
      <c r="N24" s="2" t="inlineStr"/>
      <c r="O24" s="2" t="inlineStr"/>
      <c r="P24" s="2" t="inlineStr"/>
      <c r="Q24" s="2" t="inlineStr"/>
      <c r="R24" s="2" t="inlineStr">
        <is>
          <t>• No monthly subscription dues, per vendor
• Native integration with Neon CRM for more</t>
        </is>
      </c>
      <c r="S24" s="2" t="inlineStr"/>
      <c r="T24" s="2" t="inlineStr">
        <is>
          <t>Not stated</t>
        </is>
      </c>
      <c r="U24" s="2" t="inlineStr">
        <is>
          <t>performing arts organisations (seasons, subscriptions, series); simple per-ticket price</t>
        </is>
      </c>
      <c r="V24" s="2" t="inlineStr">
        <is>
          <t>page</t>
        </is>
      </c>
      <c r="W24" s="2" t="inlineStr">
        <is>
          <t>https://neonone.com/products/arts-people/ (vendor product page)
https://us.fitgap.com/products/027535/arts-people (third-party listing repeats $0.99 per ticket (search snippet))</t>
        </is>
      </c>
    </row>
    <row r="25">
      <c r="A25" s="2" t="inlineStr">
        <is>
          <t>Театры и рассадка</t>
        </is>
      </c>
      <c r="B25" s="22" t="inlineStr">
        <is>
          <t>vivenu</t>
        </is>
      </c>
      <c r="C25" s="2" t="inlineStr">
        <is>
          <t>https://vivenu.com</t>
        </is>
      </c>
      <c r="D25" s="2" t="inlineStr">
        <is>
          <t>Global (EU base)</t>
        </is>
      </c>
      <c r="E25" s="2" t="n"/>
      <c r="F25" s="2" t="inlineStr">
        <is>
          <t>не выяснено</t>
        </is>
      </c>
      <c r="G25" s="2" t="inlineStr">
        <is>
          <t>G2 listing says quote covers choice of payment gateway and settlement/refund/chargeback options; no public statement of who collects. Not determined.</t>
        </is>
      </c>
      <c r="H25" s="2" t="inlineStr">
        <is>
          <t>negotiated</t>
        </is>
      </c>
      <c r="I25" s="2" t="inlineStr">
        <is>
          <t>• Custom quote:  — platform + usage + services itemised separately; volume and term options — no public price</t>
        </is>
      </c>
      <c r="J25" s="2" t="inlineStr"/>
      <c r="K25" s="2" t="inlineStr">
        <is>
          <t>включён: None; свой процессинг: None</t>
        </is>
      </c>
      <c r="L25" s="2" t="inlineStr"/>
      <c r="M25" s="2" t="inlineStr"/>
      <c r="N25" s="2" t="inlineStr"/>
      <c r="O25" s="2" t="inlineStr"/>
      <c r="P25" s="2" t="inlineStr"/>
      <c r="Q25" s="2" t="inlineStr"/>
      <c r="R25" s="2" t="inlineStr">
        <is>
          <t>• vivenu.com/pricing returns 404; no public pricing page found
• third_party (competitor Zeffy): page title says '$1 + 5.5% per ticket', body says '$1 per ticket + 2.5% payment processing' - the two numbers disagree
• Reddit snippet: users complain about cross-border fees</t>
        </is>
      </c>
      <c r="S25" s="2" t="inlineStr"/>
      <c r="T25" s="2" t="inlineStr">
        <is>
          <t>Contact sales; G2: no free trial, single edition</t>
        </is>
      </c>
      <c r="U25" s="2" t="inlineStr">
        <is>
          <t>enterprise white-label API-first ticketing for venues, sports, festivals, clubs; custom quotes</t>
        </is>
      </c>
      <c r="V25" s="2" t="inlineStr">
        <is>
          <t>third_party</t>
        </is>
      </c>
      <c r="W25" s="2" t="inlineStr">
        <is>
          <t>https://www.g2.com/products/vivenu-ticketing-platform/pricing (G2 pricing overview)
https://www.zeffy.com/compare/zeffy-vs-vivenu (competitor comparison with quoted numbers)</t>
        </is>
      </c>
    </row>
    <row r="26">
      <c r="A26" s="2" t="inlineStr">
        <is>
          <t>Театры и рассадка</t>
        </is>
      </c>
      <c r="B26" s="22" t="inlineStr">
        <is>
          <t>Tixr</t>
        </is>
      </c>
      <c r="C26" s="2" t="inlineStr">
        <is>
          <t>https://www.tixr.com</t>
        </is>
      </c>
      <c r="D26" s="2" t="inlineStr">
        <is>
          <t>Global</t>
        </is>
      </c>
      <c r="E26" s="2" t="n"/>
      <c r="F26" s="2" t="inlineStr">
        <is>
          <t>не выяснено</t>
        </is>
      </c>
      <c r="G26" s="2" t="inlineStr">
        <is>
          <t>Not published.</t>
        </is>
      </c>
      <c r="H26" s="2" t="inlineStr">
        <is>
          <t>negotiated</t>
        </is>
      </c>
      <c r="I26" s="2" t="inlineStr"/>
      <c r="J26" s="2" t="inlineStr"/>
      <c r="K26" s="2" t="inlineStr">
        <is>
          <t>включён: None; свой процессинг: None</t>
        </is>
      </c>
      <c r="L26" s="2" t="inlineStr"/>
      <c r="M26" s="2" t="inlineStr"/>
      <c r="N26" s="2" t="inlineStr"/>
      <c r="O26" s="2" t="inlineStr"/>
      <c r="P26" s="2" t="inlineStr"/>
      <c r="Q26" s="2" t="inlineStr"/>
      <c r="R26" s="2" t="inlineStr">
        <is>
          <t>• No pricing page (tixr.com/pricing and creators.tixr.com/pricing both 404); only 'Get a demo'
• Product line: Tixr (fan experience), Studio (back office), Door (scanning/box office), Reserved Seating, Integrations</t>
        </is>
      </c>
      <c r="S26" s="2" t="inlineStr"/>
      <c r="T26" s="2" t="inlineStr">
        <is>
          <t>Contact sales; no third-party number found</t>
        </is>
      </c>
      <c r="U26" s="2" t="inlineStr">
        <is>
          <t>nightlife, festivals, sports, culture, 700+ partners; demo-led enterprise</t>
        </is>
      </c>
      <c r="V26" s="2" t="inlineStr">
        <is>
          <t>page</t>
        </is>
      </c>
      <c r="W26" s="2" t="inlineStr">
        <is>
          <t>https://creators.tixr.com/ (vendor site, no prices)</t>
        </is>
      </c>
    </row>
    <row r="27">
      <c r="A27" s="2" t="inlineStr">
        <is>
          <t>Театры и рассадка</t>
        </is>
      </c>
      <c r="B27" s="22" t="inlineStr">
        <is>
          <t>Seat Engine</t>
        </is>
      </c>
      <c r="C27" s="2" t="inlineStr">
        <is>
          <t>https://www.seatengine.com</t>
        </is>
      </c>
      <c r="D27" s="2" t="inlineStr">
        <is>
          <t>US</t>
        </is>
      </c>
      <c r="E27" s="2" t="inlineStr">
        <is>
          <t>USD</t>
        </is>
      </c>
      <c r="F27" s="2" t="inlineStr">
        <is>
          <t>не выяснено</t>
        </is>
      </c>
      <c r="G27" s="2" t="inlineStr">
        <is>
          <t>Not published; 'free startup' and free website hosting advertised.</t>
        </is>
      </c>
      <c r="H27" s="2" t="inlineStr">
        <is>
          <t>negotiated</t>
        </is>
      </c>
      <c r="I27" s="2" t="inlineStr"/>
      <c r="J27" s="2" t="inlineStr"/>
      <c r="K27" s="2" t="inlineStr">
        <is>
          <t>включён: None; свой процессинг: None</t>
        </is>
      </c>
      <c r="L27" s="2" t="inlineStr"/>
      <c r="M27" s="2" t="inlineStr"/>
      <c r="N27" s="2" t="inlineStr"/>
      <c r="O27" s="2" t="inlineStr"/>
      <c r="P27" s="2" t="inlineStr"/>
      <c r="Q27" s="2" t="inlineStr"/>
      <c r="R27" s="2" t="inlineStr">
        <is>
          <t>• /pricing returns 404; homepage shows no prices, 'Free Startup', 'Quick Setup'
• LinkedIn snippet: marketing dashboard 'built into your ticketing fee' (a fee exists, amount not shown)
• Capterra snippet: 'starting price $0.28 per user, per month' - looks unreliable/placeholder</t>
        </is>
      </c>
      <c r="S27" s="2" t="inlineStr"/>
      <c r="T27" s="2" t="inlineStr">
        <is>
          <t>Contact sales</t>
        </is>
      </c>
      <c r="U27" s="2" t="inlineStr">
        <is>
          <t>comedy clubs, music venues, theatres; partnership/marketing-heavy, quote-based</t>
        </is>
      </c>
      <c r="V27" s="2" t="inlineStr">
        <is>
          <t>snippet</t>
        </is>
      </c>
      <c r="W27" s="2" t="inlineStr">
        <is>
          <t>https://www.seatengine.com/ (vendor homepage)
https://www.capterra.com/p/136995/Seat-Engine-Ticketing/ (Capterra search snippet only)</t>
        </is>
      </c>
    </row>
    <row r="28">
      <c r="A28" s="2" t="inlineStr">
        <is>
          <t>Театры и рассадка</t>
        </is>
      </c>
      <c r="B28" s="22" t="inlineStr">
        <is>
          <t>Ticketsolve</t>
        </is>
      </c>
      <c r="C28" s="2" t="inlineStr">
        <is>
          <t>https://www.ticketsolve.com</t>
        </is>
      </c>
      <c r="D28" s="2" t="inlineStr">
        <is>
          <t>UK/Ireland</t>
        </is>
      </c>
      <c r="E28" s="2" t="n"/>
      <c r="F28" s="2" t="inlineStr">
        <is>
          <t>не выяснено</t>
        </is>
      </c>
      <c r="G28" s="2" t="inlineStr">
        <is>
          <t>Ticketsolve Pay (TS Pay) exists; help-centre snippet says the Ticketsolve Pay processing rate for online/phone payments is billed separately. Payout model not confirmed.</t>
        </is>
      </c>
      <c r="H28" s="2" t="inlineStr">
        <is>
          <t>negotiated</t>
        </is>
      </c>
      <c r="I28" s="2" t="inlineStr">
        <is>
          <t>• All-inclusive licence:  — unlimited users, events, customers; full system; onboarding, data migration, training, 24/7 support, dedicated CSM included — estimate by quote form (tickets sold per year, box-office revenue)</t>
        </is>
      </c>
      <c r="J28" s="2" t="inlineStr"/>
      <c r="K28" s="2" t="inlineStr">
        <is>
          <t>включён: False; свой процессинг: None; Ticketsolve Pay; billed separately, rate not public</t>
        </is>
      </c>
      <c r="L28" s="2" t="inlineStr"/>
      <c r="M28" s="2" t="inlineStr"/>
      <c r="N28" s="2" t="inlineStr"/>
      <c r="O28" s="2" t="inlineStr"/>
      <c r="P28" s="2" t="inlineStr"/>
      <c r="Q28" s="2" t="inlineStr"/>
      <c r="R28" s="2" t="inlineStr">
        <is>
          <t>• Optional extras: Event Hub, Postcode Lookup
• No upfront onboarding/migration fees
• third_party: SoftwareWorld lists 'starting price EUR 5,000 per user' - unverified, inconsistent with 'unlimited users'</t>
        </is>
      </c>
      <c r="S28" s="2" t="inlineStr"/>
      <c r="T28" s="2" t="inlineStr">
        <is>
          <t>Contact for estimate</t>
        </is>
      </c>
      <c r="U28" s="2" t="inlineStr">
        <is>
          <t>UK/IE theatres, arts centres, museums, festivals, visitor attractions; all-inclusive licence</t>
        </is>
      </c>
      <c r="V28" s="2" t="inlineStr">
        <is>
          <t>third_party</t>
        </is>
      </c>
      <c r="W28" s="2" t="inlineStr">
        <is>
          <t>https://www.ticketsolve.com/pricing (pricing page)
https://www.softwareworld.co/software/ticketsolve-reviews/ (third-party listing)
https://ticketsolve.zendesk.com/hc/en-us/articles/39801966189076-Introduction-to-Ticketsolve-Pay (search snippet only (page returned 500))</t>
        </is>
      </c>
    </row>
    <row r="29">
      <c r="A29" s="2" t="inlineStr">
        <is>
          <t>Театры и рассадка</t>
        </is>
      </c>
      <c r="B29" s="22" t="inlineStr">
        <is>
          <t>Spektrix</t>
        </is>
      </c>
      <c r="C29" s="2" t="inlineStr">
        <is>
          <t>https://www.spektrix.com</t>
        </is>
      </c>
      <c r="D29" s="2" t="inlineStr">
        <is>
          <t>UK &amp; Ireland / US / Canada / Australia &amp; NZ (region selector)</t>
        </is>
      </c>
      <c r="E29" s="2" t="n"/>
      <c r="F29" s="2" t="inlineStr">
        <is>
          <t>собирает на себя</t>
        </is>
      </c>
      <c r="G29" s="2" t="inlineStr">
        <is>
          <t>Payments run through Spektrix Payments (Adyen): daily payouts, unlimited refund window, fraud tools; card processing fees and chargebacks charged as a % per transaction on top of the service charge. Organizer is effectively a sub-merchant of the platform's Adyen setup.</t>
        </is>
      </c>
      <c r="H29" s="2" t="inlineStr">
        <is>
          <t>negotiated</t>
        </is>
      </c>
      <c r="I29" s="2" t="inlineStr">
        <is>
          <t>• Single service charge ('shared success pricing'):  — all tools, hosting, upgrades, Dotdigital licence, white-label purchase pathway, unlimited users, implementation PM, data migration, seating-plan building, support 24/7 — scales with activity; nothing payable until go-live; falls if revenue dips</t>
        </is>
      </c>
      <c r="J29" s="2" t="inlineStr"/>
      <c r="K29" s="2" t="inlineStr">
        <is>
          <t>включён: False; свой процессинг: False; Spektrix Payments (Adyen); 'Request pricing' for regional card rates</t>
        </is>
      </c>
      <c r="L29" s="2" t="inlineStr"/>
      <c r="M29" s="2" t="inlineStr"/>
      <c r="N29" s="2" t="inlineStr">
        <is>
          <t>Custom seating-plan building is included in the service charge</t>
        </is>
      </c>
      <c r="O29" s="2" t="inlineStr">
        <is>
          <t>Daily payouts</t>
        </is>
      </c>
      <c r="P29" s="2" t="inlineStr">
        <is>
          <t>Unlimited refund window; chargebacks charged at affordable rates (not quantified)</t>
        </is>
      </c>
      <c r="Q29" s="2" t="inlineStr"/>
      <c r="R29" s="2" t="inlineStr">
        <is>
          <t>• Excluded: card processing %, web integrations (custom sites), extra hardware, partner solutions (no commission)
• third_party snippet: charge is usage-based on revenue excluding donations, billed monthly (not confirmed on vendor page)</t>
        </is>
      </c>
      <c r="S29" s="2" t="inlineStr"/>
      <c r="T29" s="2" t="inlineStr">
        <is>
          <t>Quote only; no vendor or third-party GBP figure found</t>
        </is>
      </c>
      <c r="U29" s="2" t="inlineStr">
        <is>
          <t>arts and cultural organisations UK/IE, US, Canada, ANZ; single scaling service charge, premium CRM+ticketing</t>
        </is>
      </c>
      <c r="V29" s="2" t="inlineStr">
        <is>
          <t>page</t>
        </is>
      </c>
      <c r="W29" s="2" t="inlineStr">
        <is>
          <t>https://www.spektrix.com/pricing (pricing page)
https://www.softwareadvice.com/ticketing/spektrix-profile (third-party description (search snippet))</t>
        </is>
      </c>
    </row>
    <row r="30">
      <c r="A30" s="2" t="inlineStr">
        <is>
          <t>Театры и рассадка</t>
        </is>
      </c>
      <c r="B30" s="22" t="inlineStr">
        <is>
          <t>TicketLeap (Leap Event Technology self-serve)</t>
        </is>
      </c>
      <c r="C30" s="2" t="inlineStr">
        <is>
          <t>https://www.ticketleap.com</t>
        </is>
      </c>
      <c r="D30" s="2" t="inlineStr">
        <is>
          <t>US / Canada / Australia</t>
        </is>
      </c>
      <c r="E30" s="2" t="inlineStr">
        <is>
          <t>USD (CAD, AUD also)</t>
        </is>
      </c>
      <c r="F30" s="2" t="inlineStr">
        <is>
          <t>собирает на себя</t>
        </is>
      </c>
      <c r="G30" s="2" t="inlineStr">
        <is>
          <t>TicketLeap processes cards through its own Stripe integration (no PayPal/Auth.net) and pays the organizer 4-7 business days AFTER the event ends; no reserve beyond that stated.</t>
        </is>
      </c>
      <c r="H30" s="2" t="inlineStr">
        <is>
          <t>percent_plus_fixed</t>
        </is>
      </c>
      <c r="I30" s="2" t="inlineStr">
        <is>
          <t>• Online sales: 2.0% +1.0 потолок 20.0 — entire platform, unlimited tickets — plus 3% online transaction fee per order (uncapped)
• Tickets $5 or less: +0.49 — plus 3% online transaction fee
• Box office / at-door: +1.0 — $0.49 for tickets of $5 or less; 3% only if paid by card, none for cash/check</t>
        </is>
      </c>
      <c r="J30" s="2" t="inlineStr"/>
      <c r="K30" s="2" t="inlineStr">
        <is>
          <t>включён: True; свой процессинг: False; Stripe (TicketLeap-managed); 3% online transaction fee per order, no fixed part</t>
        </is>
      </c>
      <c r="L30" s="2" t="inlineStr">
        <is>
          <t>configurable</t>
        </is>
      </c>
      <c r="M30" s="2" t="inlineStr">
        <is>
          <t>Free events always free</t>
        </is>
      </c>
      <c r="N30" s="2" t="inlineStr">
        <is>
          <t>Reserved seating solution exists; no surcharge stated on pricing page</t>
        </is>
      </c>
      <c r="O30" s="2" t="inlineStr">
        <is>
          <t>4-7 business days after event ends, to bank account (US, CA, AU)</t>
        </is>
      </c>
      <c r="P30" s="2" t="inlineStr">
        <is>
          <t>Dedicated risk manager fights chargebacks; refund fee treatment not stated</t>
        </is>
      </c>
      <c r="Q30" s="2" t="inlineStr">
        <is>
          <t>sales tax can be added as a line item, organizer manages it</t>
        </is>
      </c>
      <c r="R30" s="2" t="inlineStr">
        <is>
          <t>• No contracts, subscriptions or prepaid credits
• Cap of $20 applies to the fee, not the 3% transaction fee
• Currencies: USD, CAD, AUD only</t>
        </is>
      </c>
      <c r="S30" s="2" t="inlineStr"/>
      <c r="T30" s="2" t="inlineStr">
        <is>
          <t>Over 10,000 tickets/yr is steered to Leap professional ticketing (former ShowClix)</t>
        </is>
      </c>
      <c r="U30" s="2" t="inlineStr">
        <is>
          <t>small/mid events under 10,000 tickets/year; free for organizers when fees passed to buyers</t>
        </is>
      </c>
      <c r="V30" s="2" t="inlineStr">
        <is>
          <t>page</t>
        </is>
      </c>
      <c r="W30" s="2" t="inlineStr">
        <is>
          <t>https://www.ticketleap.com/info/pricing/ (pricing page + FAQ)</t>
        </is>
      </c>
    </row>
    <row r="31">
      <c r="A31" s="2" t="inlineStr">
        <is>
          <t>Театры и рассадка</t>
        </is>
      </c>
      <c r="B31" s="22" t="inlineStr">
        <is>
          <t>ShowClix (now Leap professional ticketing)</t>
        </is>
      </c>
      <c r="C31" s="2" t="inlineStr">
        <is>
          <t>https://leapevent.tech/solutions/event-ticketing/</t>
        </is>
      </c>
      <c r="D31" s="2" t="inlineStr">
        <is>
          <t>US + multi-currency</t>
        </is>
      </c>
      <c r="E31" s="2" t="n"/>
      <c r="F31" s="2" t="inlineStr">
        <is>
          <t>собирает на себя</t>
        </is>
      </c>
      <c r="G31" s="2" t="inlineStr">
        <is>
          <t>Default settlement is the week after the event, deposited to the organizer's bank; advance weekly payments on application. Third-party gateways are possible with narrower functionality; clients on Leap merchant services get Apple/Google Pay, BNPL, EMV terminals.</t>
        </is>
      </c>
      <c r="H31" s="2" t="inlineStr">
        <is>
          <t>negotiated</t>
        </is>
      </c>
      <c r="I31" s="2" t="inlineStr">
        <is>
          <t>• Professional ticketing:  — exclusive ticketing contract, implementation resources, white-label options — 'small negotiable fee per ticket', normally passed to buyers, plus card processing; annual licence option on request</t>
        </is>
      </c>
      <c r="J31" s="2" t="inlineStr"/>
      <c r="K31" s="2" t="inlineStr">
        <is>
          <t>включён: None; свой процессинг: True; Leap merchant services, third-party gateways</t>
        </is>
      </c>
      <c r="L31" s="2" t="inlineStr"/>
      <c r="M31" s="2" t="inlineStr"/>
      <c r="N31" s="2" t="inlineStr"/>
      <c r="O31" s="2" t="inlineStr">
        <is>
          <t>Week after the event; advance weekly payouts possible</t>
        </is>
      </c>
      <c r="P31" s="2" t="inlineStr"/>
      <c r="Q31" s="2" t="inlineStr"/>
      <c r="R31" s="2" t="inlineStr">
        <is>
          <t>• showclix.com/pricing is a 404 and the brand now points to Leap
• Entry-level fee quoted on FAQ ($1 + 2% up to $20 per ticket) is TicketLeap self-serve, not this product
• third_party snippet (ticketscandy blog, 2022): organizers reported paying around 15% per transaction on ShowClix - unverified, old</t>
        </is>
      </c>
      <c r="S31" s="2" t="inlineStr"/>
      <c r="T31" s="2" t="inlineStr">
        <is>
          <t>Contact sales</t>
        </is>
      </c>
      <c r="U31" s="2" t="inlineStr">
        <is>
          <t>mid/large events, attractions, festivals, conventions; exclusive contracts with negotiated per-ticket fee</t>
        </is>
      </c>
      <c r="V31" s="2" t="inlineStr">
        <is>
          <t>page</t>
        </is>
      </c>
      <c r="W31" s="2" t="inlineStr">
        <is>
          <t>https://leapevent.tech/solutions/event-ticketing/ (Leap page)
https://www.ticketleap.com/professional-event-ticketing/ (FAQ on settlement, fees)</t>
        </is>
      </c>
    </row>
    <row r="32">
      <c r="A32" s="2" t="inlineStr">
        <is>
          <t>Сев.-Зап. Европа и Швейцария</t>
        </is>
      </c>
      <c r="B32" s="22" t="inlineStr">
        <is>
          <t>Eventim.Light (CTS Eventim self-service; Ticketcorner.Light in CH, oeticket.Light in AT, billetlugen.Light DK, lippu.light FI)</t>
        </is>
      </c>
      <c r="C32" s="2" t="inlineStr">
        <is>
          <t>https://www.eventim-light.com</t>
        </is>
      </c>
      <c r="D32" s="2" t="inlineStr">
        <is>
          <t>Germany</t>
        </is>
      </c>
      <c r="E32" s="2" t="inlineStr">
        <is>
          <t>EUR</t>
        </is>
      </c>
      <c r="F32" s="2" t="inlineStr">
        <is>
          <t>собирает на себя</t>
        </is>
      </c>
      <c r="G32" s="2" t="inlineStr">
        <is>
          <t>Eventim collects payments; settlement within 5 working days after organizer marks the event 'Abgeschlossen' (completed); payout to the bank account stored in profile; cancelled/postponed events settle only after refund claims are cleared. Fee deducted from proceeds.</t>
        </is>
      </c>
      <c r="H32" s="2" t="inlineStr">
        <is>
          <t>percent_plus_fixed</t>
        </is>
      </c>
      <c r="I32" s="2" t="inlineStr">
        <is>
          <t>• Own ticket shop + box office: 3.5% +0.49 — own shop (iframe), box office function, scan app, seat map, reporting, no setup cost, payment processing + VAT included — EUR 0.49 per ticket up to base price EUR 6.99, EUR 0.99 per ticket from EUR 7.00; gross incl. VAT
• Optional EVENTIM network (eventim.de + ~10,000 outlets): 10% — listing on eventim.de and presale outlets, Eventim marketing — +10% advance-sale fee on base price, ON TOP of the ticket fee; event reviewed by e-commerce team</t>
        </is>
      </c>
      <c r="J32" s="2" t="inlineStr"/>
      <c r="K32" s="2" t="inlineStr">
        <is>
          <t>включён: True; свой процессинг: False; not detailed; payment fees included in ticket fee</t>
        </is>
      </c>
      <c r="L32" s="2" t="inlineStr">
        <is>
          <t>configurable (organizer decides to absorb the fee or pass it to the buyer); network orders may add buyer booking and shipping fees</t>
        </is>
      </c>
      <c r="M32" s="2" t="inlineStr">
        <is>
          <t>not stated on pricing page (in AT own-sale/free tickets cost EUR 0.39 + VAT each, see AT)</t>
        </is>
      </c>
      <c r="N32" s="2" t="inlineStr">
        <is>
          <t>seat map creation included, no surcharge stated</t>
        </is>
      </c>
      <c r="O32" s="2" t="inlineStr">
        <is>
          <t>within 5 working days after event closed; Premium contracts negotiable</t>
        </is>
      </c>
      <c r="P32" s="2" t="inlineStr">
        <is>
          <t>on event cancellation, ticket-dependent fees and sales commissions may still be charged to the organizer</t>
        </is>
      </c>
      <c r="Q32" s="2" t="inlineStr">
        <is>
          <t>fees gross: payment gateway fees and VAT already included in the ticket fee</t>
        </is>
      </c>
      <c r="R32" s="2" t="inlineStr">
        <is>
          <t>• no contract term, no fixed cost
• no setup cost
• cancelled events: fees may apply
• network orders: buyer may pay extra booking fee + shipping</t>
        </is>
      </c>
      <c r="S32" s="2" t="inlineStr"/>
      <c r="T32" s="2" t="inlineStr">
        <is>
          <t>Premium contracts on request in Nordics; DE not stated</t>
        </is>
      </c>
      <c r="U32" s="2" t="inlineStr">
        <is>
          <t>small/independent organizers who want own ticket shop plus optional access to the big Eventim network (eventim.de, oeticket, ticketcorner, etc.)</t>
        </is>
      </c>
      <c r="V32" s="2" t="inlineStr">
        <is>
          <t>page</t>
        </is>
      </c>
      <c r="W32" s="2" t="inlineStr">
        <is>
          <t>https://www.eventim-light.de/preise/ (German pricing page + FAQ)
https://futuratickets.ae/revista/eventim-light-comisiones-condiciones-alemania-paises-bajos-espana (third-party comparison confirming DE/NL/ES rates (dated 8 Sep 2026))</t>
        </is>
      </c>
    </row>
    <row r="33">
      <c r="A33" s="2" t="inlineStr">
        <is>
          <t>Сев.-Зап. Европа и Швейцария</t>
        </is>
      </c>
      <c r="B33" s="22" t="inlineStr">
        <is>
          <t>Eventim.Light (CTS Eventim self-service; Ticketcorner.Light in CH, oeticket.Light in AT, billetlugen.Light DK, lippu.light FI)</t>
        </is>
      </c>
      <c r="C33" s="2" t="inlineStr">
        <is>
          <t>https://www.eventim-light.com</t>
        </is>
      </c>
      <c r="D33" s="2" t="inlineStr">
        <is>
          <t>Austria (oeticket.Light)</t>
        </is>
      </c>
      <c r="E33" s="2" t="inlineStr">
        <is>
          <t>EUR</t>
        </is>
      </c>
      <c r="F33" s="2" t="inlineStr">
        <is>
          <t>собирает на себя</t>
        </is>
      </c>
      <c r="G33" s="2" t="inlineStr">
        <is>
          <t>same Eventim settlement model; payout after event closed (AT page FAQ not captured, DE/CH FAQ says 5 working days)</t>
        </is>
      </c>
      <c r="H33" s="2" t="inlineStr">
        <is>
          <t>percent_plus_fixed</t>
        </is>
      </c>
      <c r="I33" s="2" t="inlineStr">
        <is>
          <t>• Own ticket shop: 5% мин 0.39 — shop, box office, scan app — 5% of base price, minimum EUR 0.39 in own shop; fee is paid by the ticket buyer per page wording (organizer decides to carry or pass on)
• oeticket network: 10% — oeticket.com + ~4,000 outlets in Austria — +10% advance-sale fee on base price
• Own-sale tickets (door/offline) and free tickets: +0.39 — EUR 0.39 plus VAT per booked own-sale ticket (cancelled ones too) and free tickets incl. free tickets in the light shop; invoiced / netted in final settlement</t>
        </is>
      </c>
      <c r="J33" s="2" t="inlineStr"/>
      <c r="K33" s="2" t="inlineStr">
        <is>
          <t>включён: True; свой процессинг: False; included</t>
        </is>
      </c>
      <c r="L33" s="2" t="inlineStr">
        <is>
          <t>configurable</t>
        </is>
      </c>
      <c r="M33" s="2" t="inlineStr">
        <is>
          <t>EUR 0.39 + VAT each (free tickets are charged in AT)</t>
        </is>
      </c>
      <c r="N33" s="2" t="inlineStr"/>
      <c r="O33" s="2" t="inlineStr">
        <is>
          <t>after event closed (assumed same as DE)</t>
        </is>
      </c>
      <c r="P33" s="2" t="inlineStr">
        <is>
          <t>cancelled event: ticket-dependent charges and sales commissions may apply</t>
        </is>
      </c>
      <c r="Q33" s="2" t="inlineStr">
        <is>
          <t>payment fees and VAT included in ticket fee; own-sale fee is plus VAT</t>
        </is>
      </c>
      <c r="R33" s="2" t="inlineStr">
        <is>
          <t>• network orders may add buyer booking fees and shipping</t>
        </is>
      </c>
      <c r="S33" s="2" t="inlineStr"/>
      <c r="T33" s="2" t="inlineStr"/>
      <c r="U33" s="2" t="inlineStr">
        <is>
          <t>small/independent organizers who want own ticket shop plus optional access to the big Eventim network (eventim.de, oeticket, ticketcorner, etc.)</t>
        </is>
      </c>
      <c r="V33" s="2" t="inlineStr">
        <is>
          <t>page</t>
        </is>
      </c>
      <c r="W33" s="2" t="inlineStr">
        <is>
          <t>https://www.oeticket-light.com/preise/ (Austrian pricing page)</t>
        </is>
      </c>
    </row>
    <row r="34">
      <c r="A34" s="2" t="inlineStr">
        <is>
          <t>Сев.-Зап. Европа и Швейцария</t>
        </is>
      </c>
      <c r="B34" s="22" t="inlineStr">
        <is>
          <t>Eventim.Light (CTS Eventim self-service; Ticketcorner.Light in CH, oeticket.Light in AT, billetlugen.Light DK, lippu.light FI)</t>
        </is>
      </c>
      <c r="C34" s="2" t="inlineStr">
        <is>
          <t>https://www.eventim-light.com</t>
        </is>
      </c>
      <c r="D34" s="2" t="inlineStr">
        <is>
          <t>Netherlands</t>
        </is>
      </c>
      <c r="E34" s="2" t="inlineStr">
        <is>
          <t>EUR</t>
        </is>
      </c>
      <c r="F34" s="2" t="inlineStr">
        <is>
          <t>собирает на себя</t>
        </is>
      </c>
      <c r="G34" s="2" t="inlineStr">
        <is>
          <t>payment 5 working days after event marked finished (per third-party article citing NL FAQ); cancelled/postponed events paid after refunds processed</t>
        </is>
      </c>
      <c r="H34" s="2" t="inlineStr">
        <is>
          <t>percent_plus_fixed</t>
        </is>
      </c>
      <c r="I34" s="2" t="inlineStr">
        <is>
          <t>• Own ticket shop: 2% +0.49 — shop, box office, scan app — 2% + EUR 0.49 for base price up to EUR 15.99; flat EUR 0.99 per ticket from EUR 16.00
• eventim.nl network: 10% — eventim.nl (4M visits/yr) — +10% on base price; third-party article: requires min 150 tickets, price &gt;= EUR 10, &gt;= 6 weeks on sale, Dutch description</t>
        </is>
      </c>
      <c r="J34" s="2" t="inlineStr"/>
      <c r="K34" s="2" t="inlineStr">
        <is>
          <t>включён: True; свой процессинг: False; included</t>
        </is>
      </c>
      <c r="L34" s="2" t="inlineStr">
        <is>
          <t>configurable</t>
        </is>
      </c>
      <c r="M34" s="2" t="inlineStr"/>
      <c r="N34" s="2" t="inlineStr"/>
      <c r="O34" s="2" t="inlineStr">
        <is>
          <t>5 working days after event closed</t>
        </is>
      </c>
      <c r="P34" s="2" t="inlineStr">
        <is>
          <t>fees may be charged on cancellation</t>
        </is>
      </c>
      <c r="Q34" s="2" t="inlineStr">
        <is>
          <t>transaction costs and VAT included in ticket fee</t>
        </is>
      </c>
      <c r="R34" s="2" t="inlineStr"/>
      <c r="S34" s="2" t="inlineStr"/>
      <c r="T34" s="2" t="inlineStr"/>
      <c r="U34" s="2" t="inlineStr">
        <is>
          <t>small/independent organizers who want own ticket shop plus optional access to the big Eventim network (eventim.de, oeticket, ticketcorner, etc.)</t>
        </is>
      </c>
      <c r="V34" s="2" t="inlineStr">
        <is>
          <t>page</t>
        </is>
      </c>
      <c r="W34" s="2" t="inlineStr">
        <is>
          <t>https://www.eventim-light.nl/prijzen/ (Dutch pricing page)
https://futuratickets.ae/revista/eventim-light-comisiones-condiciones-alemania-paises-bajos-espana (third-party summary of NL FAQ)</t>
        </is>
      </c>
    </row>
    <row r="35">
      <c r="A35" s="2" t="inlineStr">
        <is>
          <t>Сев.-Зап. Европа и Швейцария</t>
        </is>
      </c>
      <c r="B35" s="22" t="inlineStr">
        <is>
          <t>Eventim.Light (CTS Eventim self-service; Ticketcorner.Light in CH, oeticket.Light in AT, billetlugen.Light DK, lippu.light FI)</t>
        </is>
      </c>
      <c r="C35" s="2" t="inlineStr">
        <is>
          <t>https://www.eventim-light.com</t>
        </is>
      </c>
      <c r="D35" s="2" t="inlineStr">
        <is>
          <t>France</t>
        </is>
      </c>
      <c r="E35" s="2" t="inlineStr">
        <is>
          <t>EUR</t>
        </is>
      </c>
      <c r="F35" s="2" t="inlineStr">
        <is>
          <t>собирает на себя</t>
        </is>
      </c>
      <c r="G35" s="2" t="inlineStr">
        <is>
          <t>Eventim collects (payout timing not captured on FR page)</t>
        </is>
      </c>
      <c r="H35" s="2" t="inlineStr">
        <is>
          <t>percent_plus_fixed</t>
        </is>
      </c>
      <c r="I35" s="2" t="inlineStr">
        <is>
          <t>• Own website shop: 2.5% +0.5 — site/shop in own design included, scan app, no minimum tickets — commission EUR 0.50 + 2.5% of ticket price
• Distribution network (FNAC Spectacles, FranceBillet): 10% — FranceBillet marketing, FNAC Spectacles (3M views/month) — +10% distribution fee added to final price on top of Light fee</t>
        </is>
      </c>
      <c r="J35" s="2" t="inlineStr"/>
      <c r="K35" s="2" t="inlineStr">
        <is>
          <t>включён: True; свой процессинг: False; included</t>
        </is>
      </c>
      <c r="L35" s="2" t="inlineStr">
        <is>
          <t>configurable (commission can be added to price)</t>
        </is>
      </c>
      <c r="M35" s="2" t="inlineStr"/>
      <c r="N35" s="2" t="inlineStr"/>
      <c r="O35" s="2" t="inlineStr"/>
      <c r="P35" s="2" t="inlineStr">
        <is>
          <t>ticketing fees and commissions may be withheld on event cancellation; FranceBillet buyers may pay booking and shipping fees</t>
        </is>
      </c>
      <c r="Q35" s="2" t="inlineStr">
        <is>
          <t>transaction fees and VAT included</t>
        </is>
      </c>
      <c r="R35" s="2" t="inlineStr"/>
      <c r="S35" s="2" t="inlineStr"/>
      <c r="T35" s="2" t="inlineStr"/>
      <c r="U35" s="2" t="inlineStr">
        <is>
          <t>small/independent organizers who want own ticket shop plus optional access to the big Eventim network (eventim.de, oeticket, ticketcorner, etc.)</t>
        </is>
      </c>
      <c r="V35" s="2" t="inlineStr">
        <is>
          <t>page</t>
        </is>
      </c>
      <c r="W35" s="2" t="inlineStr">
        <is>
          <t>https://www.eventim-light.fr/tarifs/ (French pricing page)</t>
        </is>
      </c>
    </row>
    <row r="36">
      <c r="A36" s="2" t="inlineStr">
        <is>
          <t>Сев.-Зап. Европа и Швейцария</t>
        </is>
      </c>
      <c r="B36" s="22" t="inlineStr">
        <is>
          <t>Eventim.Light (CTS Eventim self-service; Ticketcorner.Light in CH, oeticket.Light in AT, billetlugen.Light DK, lippu.light FI)</t>
        </is>
      </c>
      <c r="C36" s="2" t="inlineStr">
        <is>
          <t>https://www.eventim-light.com</t>
        </is>
      </c>
      <c r="D36" s="2" t="inlineStr">
        <is>
          <t>Switzerland (Ticketcorner.Light)</t>
        </is>
      </c>
      <c r="E36" s="2" t="inlineStr">
        <is>
          <t>CHF</t>
        </is>
      </c>
      <c r="F36" s="2" t="inlineStr">
        <is>
          <t>собирает на себя</t>
        </is>
      </c>
      <c r="G36" s="2" t="inlineStr">
        <is>
          <t>Ticketcorner pays out ticket revenue after sales end with fees deducted beforehand; settlement within 5 working days after organizer sets event to 'Abgeschlossen'; cancelled/postponed events only after buyer refund claims cleared</t>
        </is>
      </c>
      <c r="H36" s="2" t="inlineStr">
        <is>
          <t>percent_plus_fixed</t>
        </is>
      </c>
      <c r="I36" s="2" t="inlineStr">
        <is>
          <t>• Box office (Kasse): +0.5 — door/box office sales — CHF 0.50 per ticket
• Own ticket shop (Ticketshop): 4% +0.5 — own shop, seat plan, scan app, reporting, no setup fee — CHF 0.50 + 4% advance-sale fee (VVK) on base price
• Ticketcorner network (ticketcorner.ch + ~120-130 outlets): 12% +0.5 — reach of largest Swiss platform — CHF 0.50 + 12% VVK on base price; buyer may additionally pay per-order service fee and shipping</t>
        </is>
      </c>
      <c r="J36" s="2" t="inlineStr"/>
      <c r="K36" s="2" t="inlineStr">
        <is>
          <t>включён: True; свой процессинг: False; included in fees</t>
        </is>
      </c>
      <c r="L36" s="2" t="inlineStr">
        <is>
          <t>configurable (organizer may absorb or add fee on top to buyer price)</t>
        </is>
      </c>
      <c r="M36" s="2" t="inlineStr"/>
      <c r="N36" s="2" t="inlineStr">
        <is>
          <t>own seat plan creation included, no surcharge stated</t>
        </is>
      </c>
      <c r="O36" s="2" t="inlineStr">
        <is>
          <t>after event closed, 5 working days</t>
        </is>
      </c>
      <c r="P36" s="2" t="inlineStr">
        <is>
          <t>on event cancellation ticket-dependent fees and sales commissions may be charged</t>
        </is>
      </c>
      <c r="Q36" s="2" t="inlineStr">
        <is>
          <t>calculator ignores VAT (MWST); fee VAT treatment not stated</t>
        </is>
      </c>
      <c r="R36" s="2" t="inlineStr">
        <is>
          <t>• no contract term, no fixed costs, personal consulting free</t>
        </is>
      </c>
      <c r="S36" s="2" t="inlineStr"/>
      <c r="T36" s="2" t="inlineStr"/>
      <c r="U36" s="2" t="inlineStr">
        <is>
          <t>small/independent organizers who want own ticket shop plus optional access to the big Eventim network (eventim.de, oeticket, ticketcorner, etc.)</t>
        </is>
      </c>
      <c r="V36" s="2" t="inlineStr">
        <is>
          <t>page</t>
        </is>
      </c>
      <c r="W36" s="2" t="inlineStr">
        <is>
          <t>https://www.ticketcorner-light.ch/preise/ (Swiss pricing page + FAQ)</t>
        </is>
      </c>
    </row>
    <row r="37">
      <c r="A37" s="2" t="inlineStr">
        <is>
          <t>Сев.-Зап. Европа и Швейцария</t>
        </is>
      </c>
      <c r="B37" s="22" t="inlineStr">
        <is>
          <t>Eventim.Light (CTS Eventim self-service; Ticketcorner.Light in CH, oeticket.Light in AT, billetlugen.Light DK, lippu.light FI)</t>
        </is>
      </c>
      <c r="C37" s="2" t="inlineStr">
        <is>
          <t>https://www.eventim-light.com</t>
        </is>
      </c>
      <c r="D37" s="2" t="inlineStr">
        <is>
          <t>Sweden</t>
        </is>
      </c>
      <c r="E37" s="2" t="inlineStr">
        <is>
          <t>SEK</t>
        </is>
      </c>
      <c r="F37" s="2" t="inlineStr">
        <is>
          <t>собирает на себя</t>
        </is>
      </c>
      <c r="G37" s="2" t="inlineStr">
        <is>
          <t>settlement sent every Friday as soon as possible after the event ends; Premium contracts can have weekly settlements and special terms</t>
        </is>
      </c>
      <c r="H37" s="2" t="inlineStr">
        <is>
          <t>percent_plus_fixed</t>
        </is>
      </c>
      <c r="I37" s="2" t="inlineStr">
        <is>
          <t>• Professional: 5.2% +4 — own site sales, e-mail support, seat maps, brandable web shop, iframe, publish on eventim.se, cart, door sales, scanning app, real-time reporting — 5.2% + SEK 4 per ticket ex VAT; own-shop sales
• Premium:  — tailored contract, Eventim marketing service, dedicated account manager, email+phone support, onsite support, advanced entrance, weekly settlements — contact sales; individual terms</t>
        </is>
      </c>
      <c r="J37" s="2" t="inlineStr"/>
      <c r="K37" s="2" t="inlineStr">
        <is>
          <t>включён: True; свой процессинг: False; transaction fees included in ticket fee</t>
        </is>
      </c>
      <c r="L37" s="2" t="inlineStr">
        <is>
          <t>configurable</t>
        </is>
      </c>
      <c r="M37" s="2" t="inlineStr"/>
      <c r="N37" s="2" t="inlineStr">
        <is>
          <t>seat maps included in Professional</t>
        </is>
      </c>
      <c r="O37" s="2" t="inlineStr">
        <is>
          <t>every Friday after event</t>
        </is>
      </c>
      <c r="P37" s="2" t="inlineStr">
        <is>
          <t>fees may arise if event cancelled</t>
        </is>
      </c>
      <c r="Q37" s="2" t="inlineStr">
        <is>
          <t>fee 5.2% + SEK 4 ex VAT; calculator shows incl. VAT</t>
        </is>
      </c>
      <c r="R37" s="2" t="inlineStr">
        <is>
          <t>• order fee SEK 15 per order only on sales via eventim.se, paid by buyer, not charged for own web shop</t>
        </is>
      </c>
      <c r="S37" s="2" t="inlineStr"/>
      <c r="T37" s="2" t="inlineStr">
        <is>
          <t>Premium: contact sales</t>
        </is>
      </c>
      <c r="U37" s="2" t="inlineStr">
        <is>
          <t>small/independent organizers who want own ticket shop plus optional access to the big Eventim network (eventim.de, oeticket, ticketcorner, etc.)</t>
        </is>
      </c>
      <c r="V37" s="2" t="inlineStr">
        <is>
          <t>page</t>
        </is>
      </c>
      <c r="W37" s="2" t="inlineStr">
        <is>
          <t>https://www.eventim-light.se/priser/ (Swedish pricing page)</t>
        </is>
      </c>
    </row>
    <row r="38">
      <c r="A38" s="2" t="inlineStr">
        <is>
          <t>Сев.-Зап. Европа и Швейцария</t>
        </is>
      </c>
      <c r="B38" s="22" t="inlineStr">
        <is>
          <t>Eventim.Light (CTS Eventim self-service; Ticketcorner.Light in CH, oeticket.Light in AT, billetlugen.Light DK, lippu.light FI)</t>
        </is>
      </c>
      <c r="C38" s="2" t="inlineStr">
        <is>
          <t>https://www.eventim-light.com</t>
        </is>
      </c>
      <c r="D38" s="2" t="inlineStr">
        <is>
          <t>Norway</t>
        </is>
      </c>
      <c r="E38" s="2" t="inlineStr">
        <is>
          <t>NOK</t>
        </is>
      </c>
      <c r="F38" s="2" t="inlineStr">
        <is>
          <t>собирает на себя</t>
        </is>
      </c>
      <c r="G38" s="2" t="inlineStr">
        <is>
          <t>settlement is automatic after the event (nothing to do for organizer); Premium has weekly settlement</t>
        </is>
      </c>
      <c r="H38" s="2" t="inlineStr">
        <is>
          <t>percent_plus_fixed</t>
        </is>
      </c>
      <c r="I38" s="2" t="inlineStr">
        <is>
          <t>• Professional: 5% +4 — same feature list as Sweden — 5% + NOK 4 per ticket excl. VAT
• Premium:  — tailored contract, KAM, onsite support, weekly settlement — contact sales</t>
        </is>
      </c>
      <c r="J38" s="2" t="inlineStr"/>
      <c r="K38" s="2" t="inlineStr">
        <is>
          <t>включён: True; свой процессинг: False; included</t>
        </is>
      </c>
      <c r="L38" s="2" t="inlineStr">
        <is>
          <t>configurable</t>
        </is>
      </c>
      <c r="M38" s="2" t="inlineStr"/>
      <c r="N38" s="2" t="inlineStr">
        <is>
          <t>advanced seat map included</t>
        </is>
      </c>
      <c r="O38" s="2" t="inlineStr">
        <is>
          <t>automatic after event</t>
        </is>
      </c>
      <c r="P38" s="2" t="inlineStr">
        <is>
          <t>fees may arise if event cancelled; buyers on eventim.no may pay order and delivery fees</t>
        </is>
      </c>
      <c r="Q38" s="2" t="inlineStr">
        <is>
          <t>5% per ticket excl. VAT + NOK 4</t>
        </is>
      </c>
      <c r="R38" s="2" t="inlineStr"/>
      <c r="S38" s="2" t="inlineStr"/>
      <c r="T38" s="2" t="inlineStr">
        <is>
          <t>Premium: contact</t>
        </is>
      </c>
      <c r="U38" s="2" t="inlineStr">
        <is>
          <t>small/independent organizers who want own ticket shop plus optional access to the big Eventim network (eventim.de, oeticket, ticketcorner, etc.)</t>
        </is>
      </c>
      <c r="V38" s="2" t="inlineStr">
        <is>
          <t>page</t>
        </is>
      </c>
      <c r="W38" s="2" t="inlineStr">
        <is>
          <t>https://www.eventim-light.no/priser/ (Norwegian pricing page)</t>
        </is>
      </c>
    </row>
    <row r="39">
      <c r="A39" s="2" t="inlineStr">
        <is>
          <t>Сев.-Зап. Европа и Швейцария</t>
        </is>
      </c>
      <c r="B39" s="22" t="inlineStr">
        <is>
          <t>Eventim.Light (CTS Eventim self-service; Ticketcorner.Light in CH, oeticket.Light in AT, billetlugen.Light DK, lippu.light FI)</t>
        </is>
      </c>
      <c r="C39" s="2" t="inlineStr">
        <is>
          <t>https://www.eventim-light.com</t>
        </is>
      </c>
      <c r="D39" s="2" t="inlineStr">
        <is>
          <t>Denmark (billetlugen.Light)</t>
        </is>
      </c>
      <c r="E39" s="2" t="inlineStr">
        <is>
          <t>DKK</t>
        </is>
      </c>
      <c r="F39" s="2" t="inlineStr">
        <is>
          <t>собирает на себя</t>
        </is>
      </c>
      <c r="G39" s="2" t="inlineStr">
        <is>
          <t>Eventim collects (payout timing not captured)</t>
        </is>
      </c>
      <c r="H39" s="2" t="inlineStr">
        <is>
          <t>percent_plus_fixed</t>
        </is>
      </c>
      <c r="I39" s="2" t="inlineStr">
        <is>
          <t>• Standard: 4.8% +3.2 — own online shop, sales on billetlugen.dk optional — per ticket ex VAT</t>
        </is>
      </c>
      <c r="J39" s="2" t="inlineStr"/>
      <c r="K39" s="2" t="inlineStr">
        <is>
          <t>включён: True; свой процессинг: False; included</t>
        </is>
      </c>
      <c r="L39" s="2" t="inlineStr">
        <is>
          <t>configurable</t>
        </is>
      </c>
      <c r="M39" s="2" t="inlineStr"/>
      <c r="N39" s="2" t="inlineStr"/>
      <c r="O39" s="2" t="inlineStr"/>
      <c r="P39" s="2" t="inlineStr"/>
      <c r="Q39" s="2" t="inlineStr">
        <is>
          <t>4.8% + DKK 3.2 ex VAT</t>
        </is>
      </c>
      <c r="R39" s="2" t="inlineStr">
        <is>
          <t>• order fee DKK 10 only when selling through billetlugen.dk, not in own shop</t>
        </is>
      </c>
      <c r="S39" s="2" t="inlineStr"/>
      <c r="T39" s="2" t="inlineStr"/>
      <c r="U39" s="2" t="inlineStr">
        <is>
          <t>small/independent organizers who want own ticket shop plus optional access to the big Eventim network (eventim.de, oeticket, ticketcorner, etc.)</t>
        </is>
      </c>
      <c r="V39" s="2" t="inlineStr">
        <is>
          <t>page</t>
        </is>
      </c>
      <c r="W39" s="2" t="inlineStr">
        <is>
          <t>https://www.billetlugen-light.dk/priser/ (Danish pricing page)</t>
        </is>
      </c>
    </row>
    <row r="40">
      <c r="A40" s="2" t="inlineStr">
        <is>
          <t>Сев.-Зап. Европа и Швейцария</t>
        </is>
      </c>
      <c r="B40" s="22" t="inlineStr">
        <is>
          <t>Eventim.Light (CTS Eventim self-service; Ticketcorner.Light in CH, oeticket.Light in AT, billetlugen.Light DK, lippu.light FI)</t>
        </is>
      </c>
      <c r="C40" s="2" t="inlineStr">
        <is>
          <t>https://www.eventim-light.com</t>
        </is>
      </c>
      <c r="D40" s="2" t="inlineStr">
        <is>
          <t>Finland (lippu.light)</t>
        </is>
      </c>
      <c r="E40" s="2" t="inlineStr">
        <is>
          <t>EUR</t>
        </is>
      </c>
      <c r="F40" s="2" t="inlineStr">
        <is>
          <t>собирает на себя</t>
        </is>
      </c>
      <c r="G40" s="2" t="inlineStr">
        <is>
          <t>Lippu.fi collects; payout timing not captured</t>
        </is>
      </c>
      <c r="H40" s="2" t="inlineStr">
        <is>
          <t>percent</t>
        </is>
      </c>
      <c r="I40" s="2" t="inlineStr">
        <is>
          <t>• Standard: 12% — own web shop, Lippu.fi, outlets, door sale, free scan app — service fee 12%, same in all channels incl. lippu.fi; organizer chooses whether it is included in or added on top of base price</t>
        </is>
      </c>
      <c r="J40" s="2" t="inlineStr"/>
      <c r="K40" s="2" t="inlineStr">
        <is>
          <t>включён: True; свой процессинг: False; Finnish online banks, cards, Apple Pay, MobilePay; included in service fee</t>
        </is>
      </c>
      <c r="L40" s="2" t="inlineStr">
        <is>
          <t>configurable (default: buyer pays service fee on top, organizer can include)</t>
        </is>
      </c>
      <c r="M40" s="2" t="inlineStr">
        <is>
          <t>costs only arise for larger numbers of free tickets or extra services</t>
        </is>
      </c>
      <c r="N40" s="2" t="inlineStr">
        <is>
          <t>seat maps available</t>
        </is>
      </c>
      <c r="O40" s="2" t="inlineStr"/>
      <c r="P40" s="2" t="inlineStr">
        <is>
          <t>on cancellation base price refunded, service/order/delivery fees not refunded to buyer (consumer authority rule); organizer may incur costs</t>
        </is>
      </c>
      <c r="Q40" s="2" t="inlineStr"/>
      <c r="R40" s="2" t="inlineStr">
        <is>
          <t>• order fee plus possible delivery and payment-method fees added to buyer price</t>
        </is>
      </c>
      <c r="S40" s="2" t="inlineStr"/>
      <c r="T40" s="2" t="inlineStr"/>
      <c r="U40" s="2" t="inlineStr">
        <is>
          <t>small/independent organizers who want own ticket shop plus optional access to the big Eventim network (eventim.de, oeticket, ticketcorner, etc.)</t>
        </is>
      </c>
      <c r="V40" s="2" t="inlineStr">
        <is>
          <t>page</t>
        </is>
      </c>
      <c r="W40" s="2" t="inlineStr">
        <is>
          <t>https://www.lippu-light.fi/hinnoittelu/ (Finnish pricing page)</t>
        </is>
      </c>
    </row>
    <row r="41">
      <c r="A41" s="2" t="inlineStr">
        <is>
          <t>Сев.-Зап. Европа и Швейцария</t>
        </is>
      </c>
      <c r="B41" s="22" t="inlineStr">
        <is>
          <t>Reservix (self-service ticketing for organizers)</t>
        </is>
      </c>
      <c r="C41" s="2" t="inlineStr">
        <is>
          <t>https://www.reservix.net</t>
        </is>
      </c>
      <c r="D41" s="2" t="inlineStr">
        <is>
          <t>Germany / Austria</t>
        </is>
      </c>
      <c r="E41" s="2" t="inlineStr">
        <is>
          <t>EUR</t>
        </is>
      </c>
      <c r="F41" s="2" t="inlineStr">
        <is>
          <t>собирает на себя</t>
        </is>
      </c>
      <c r="G41" s="2" t="inlineStr">
        <is>
          <t>Reservix sells and pays out; revenue settled at an individually agreed period</t>
        </is>
      </c>
      <c r="H41" s="2" t="inlineStr">
        <is>
          <t>negotiated</t>
        </is>
      </c>
      <c r="I41" s="2" t="inlineStr">
        <is>
          <t>• Standard organizer contract:  — web-based ticket system, own webshop, reservix.de/ADticket portals, presale-outlet network, hotlines — organizer commission / system fee is contractual and not published; 'no running or hidden costs, fees per ticket sold'; support free; hardware and setup support may cost extra</t>
        </is>
      </c>
      <c r="J41" s="2" t="inlineStr"/>
      <c r="K41" s="2" t="inlineStr">
        <is>
          <t>включён: True; свой процессинг: False; PayPal, SEPA direct debit, Mastercard, Visa, Amex, Klarna, Google Pay, Apple Pay; not stated</t>
        </is>
      </c>
      <c r="L41" s="2" t="inlineStr">
        <is>
          <t>buyer pays EUR 2.00 service flat fee per ORDER (not per ticket) on Reservix portal or organizer webshop; plus shipping if posted; advance-sale fees negotiated</t>
        </is>
      </c>
      <c r="M41" s="2" t="inlineStr"/>
      <c r="N41" s="2" t="inlineStr"/>
      <c r="O41" s="2" t="inlineStr">
        <is>
          <t>individually agreed settlement period</t>
        </is>
      </c>
      <c r="P41" s="2" t="inlineStr"/>
      <c r="Q41" s="2" t="inlineStr"/>
      <c r="R41" s="2" t="inlineStr">
        <is>
          <t>• no public price list: organizer must contact sales
• third-party Awin affiliate snippet mentions a 10% advance-sale fee (Vorverkaufsgebuehr) in the programme - snippet only
• one municipal cultural-office agreement references a separate system fee invoiced after the event (snippet)</t>
        </is>
      </c>
      <c r="S41" s="2" t="inlineStr"/>
      <c r="T41" s="2" t="inlineStr">
        <is>
          <t>contact sales; Reservix 'Zusammenarbeit Veranstalter' form</t>
        </is>
      </c>
      <c r="U41" s="2" t="inlineStr">
        <is>
          <t>organizers of any size in DE/AT wanting multichannel (own portals, 7,000+ organizers, presale-outlet network)</t>
        </is>
      </c>
      <c r="V41" s="2" t="inlineStr">
        <is>
          <t>page</t>
        </is>
      </c>
      <c r="W41" s="2" t="inlineStr">
        <is>
          <t>https://www.reservix.net/zusammenarbeit-veranstalter/ (organizer cooperation page)
https://service.reservix.de/de/support/solutions/articles/15000050356-welche-geb%C3%BChren-fallen-bei-einer-online-bestellung-an- (buyer fee EUR 2.00 per order)
https://www.weticket.com/de/vergleiche-ticketingsysteme/reservix (third-party comparison confirming organizer fees not public)
https://ui.awin.com/merchant-profile/31293 (affiliate programme profile (search snippet only, not opened))</t>
        </is>
      </c>
    </row>
    <row r="42">
      <c r="A42" s="2" t="inlineStr">
        <is>
          <t>Сев.-Зап. Европа и Швейцария</t>
        </is>
      </c>
      <c r="B42" s="22" t="inlineStr">
        <is>
          <t>ticket i/O</t>
        </is>
      </c>
      <c r="C42" s="2" t="inlineStr">
        <is>
          <t>https://www.ticket.io</t>
        </is>
      </c>
      <c r="D42" s="2" t="inlineStr">
        <is>
          <t>Germany / Austria / Croatia</t>
        </is>
      </c>
      <c r="E42" s="2" t="inlineStr">
        <is>
          <t>EUR</t>
        </is>
      </c>
      <c r="F42" s="2" t="inlineStr">
        <is>
          <t>собирает на себя</t>
        </is>
      </c>
      <c r="G42" s="2" t="inlineStr">
        <is>
          <t>all revenues and payouts run 100% through trust (escrow) accounts per the site; payout timing not captured</t>
        </is>
      </c>
      <c r="H42" s="2" t="inlineStr">
        <is>
          <t>mixed</t>
        </is>
      </c>
      <c r="I42" s="2" t="inlineStr">
        <is>
          <t>• Individual offer:  — ticket shop, scanner app, seat plans, payment methods, box office (Tageskasse) — price made of a system fee + a payment provider fee, both can be passed to buyers as booking fee (VVK-Gebuehr); hardware, staff, marketing extras priced separately; short contract terms; no numbers published</t>
        </is>
      </c>
      <c r="J42" s="2" t="inlineStr"/>
      <c r="K42" s="2" t="inlineStr">
        <is>
          <t>включён: False; свой процессинг: None; payment provider fee is a separate fee line</t>
        </is>
      </c>
      <c r="L42" s="2" t="inlineStr">
        <is>
          <t>configurable</t>
        </is>
      </c>
      <c r="M42" s="2" t="inlineStr"/>
      <c r="N42" s="2" t="inlineStr"/>
      <c r="O42" s="2" t="inlineStr">
        <is>
          <t>100% via escrow/trust accounts</t>
        </is>
      </c>
      <c r="P42" s="2" t="inlineStr"/>
      <c r="Q42" s="2" t="inlineStr"/>
      <c r="R42" s="2" t="inlineStr">
        <is>
          <t>• 'contact sales' pricing: no public numbers</t>
        </is>
      </c>
      <c r="S42" s="2" t="inlineStr">
        <is>
          <t>• {"name": "hardware, personnel, marketing", "price": "on request"}</t>
        </is>
      </c>
      <c r="T42" s="2" t="inlineStr">
        <is>
          <t>all pricing individual via sales@ticket.io</t>
        </is>
      </c>
      <c r="U42" s="2" t="inlineStr">
        <is>
          <t>clubs, festivals, carnival associations, markets in DE/AT/HR; independent ticketing with sales team</t>
        </is>
      </c>
      <c r="V42" s="2" t="inlineStr">
        <is>
          <t>page</t>
        </is>
      </c>
      <c r="W42" s="2" t="inlineStr">
        <is>
          <t>https://www.ticket.io/preise/ (pricing page (no numbers))</t>
        </is>
      </c>
    </row>
    <row r="43">
      <c r="A43" s="2" t="inlineStr">
        <is>
          <t>Сев.-Зап. Европа и Швейцария</t>
        </is>
      </c>
      <c r="B43" s="22" t="inlineStr">
        <is>
          <t>Rausgegangen (Event-Zentrale ticketing add-on)</t>
        </is>
      </c>
      <c r="C43" s="2" t="inlineStr">
        <is>
          <t>https://rausgegangen.de</t>
        </is>
      </c>
      <c r="D43" s="2" t="inlineStr">
        <is>
          <t>Germany</t>
        </is>
      </c>
      <c r="E43" s="2" t="inlineStr">
        <is>
          <t>EUR</t>
        </is>
      </c>
      <c r="F43" s="2" t="inlineStr">
        <is>
          <t>собирает на себя</t>
        </is>
      </c>
      <c r="G43" s="2" t="inlineStr">
        <is>
          <t>per a Rausgegangen ticketing cooperation agreement (2023 PDF snippet) Rausgegangen sells tickets in the name and on account of the organizers and settles with them; details not read</t>
        </is>
      </c>
      <c r="H43" s="2" t="inlineStr">
        <is>
          <t>negotiated</t>
        </is>
      </c>
      <c r="I43" s="2" t="inlineStr">
        <is>
          <t>• Free event listing:  — publishing events free on Rausgegangen — site says events can be listed for free
• Ticketing (Event-Zentrale add-on):  — seat plan, data sovereignty, individual design, 'fair conditions' — fees not public; a third-party comparison (eventshift.io search snippet, not opened) reports EUR 5.40 total on an EUR 80 ticket for Rausgegangen vs EUR 1.68 for pretix, EUR 2.80 Fienta, EUR 3.79 Eventim.Light</t>
        </is>
      </c>
      <c r="J43" s="2" t="inlineStr"/>
      <c r="K43" s="2" t="inlineStr">
        <is>
          <t>включён: None; свой процессинг: None; credit card, PayPal</t>
        </is>
      </c>
      <c r="L43" s="2" t="inlineStr"/>
      <c r="M43" s="2" t="inlineStr"/>
      <c r="N43" s="2" t="inlineStr">
        <is>
          <t>seat plan available</t>
        </is>
      </c>
      <c r="O43" s="2" t="inlineStr"/>
      <c r="P43" s="2" t="inlineStr">
        <is>
          <t>cancelled/postponed events: tickets bought via Rausgegangen are refunded automatically (help article)</t>
        </is>
      </c>
      <c r="Q43" s="2" t="inlineStr"/>
      <c r="R43" s="2" t="inlineStr">
        <is>
          <t>• no public pricing; contact via Event Zentrale</t>
        </is>
      </c>
      <c r="S43" s="2" t="inlineStr"/>
      <c r="T43" s="2" t="inlineStr">
        <is>
          <t>contact</t>
        </is>
      </c>
      <c r="U43" s="2" t="inlineStr">
        <is>
          <t>German event discovery platform with integrated ticketing add-on for cultural organizers</t>
        </is>
      </c>
      <c r="V43" s="2" t="inlineStr">
        <is>
          <t>snippet</t>
        </is>
      </c>
      <c r="W43" s="2" t="inlineStr">
        <is>
          <t>https://pos.rausgegangen.de/ (Event Zentrale page)
https://eventshift.io/vergleich/ticketing-anbieter (third-party comparison (page unreadable, search snippet only))</t>
        </is>
      </c>
    </row>
    <row r="44">
      <c r="A44" s="2" t="inlineStr">
        <is>
          <t>Сев.-Зап. Европа и Швейцария</t>
        </is>
      </c>
      <c r="B44" s="22" t="inlineStr">
        <is>
          <t>Weezevent (WeezTicket)</t>
        </is>
      </c>
      <c r="C44" s="2" t="inlineStr">
        <is>
          <t>https://weezevent.com</t>
        </is>
      </c>
      <c r="D44" s="2" t="inlineStr">
        <is>
          <t>Switzerland (fr-CH / de-CH)</t>
        </is>
      </c>
      <c r="E44" s="2" t="inlineStr">
        <is>
          <t>CHF</t>
        </is>
      </c>
      <c r="F44" s="2" t="inlineStr">
        <is>
          <t>собирает на себя</t>
        </is>
      </c>
      <c r="G44" s="2" t="inlineStr">
        <is>
          <t>Weezevent collects; revenue paid out every 15 days; banking fees included</t>
        </is>
      </c>
      <c r="H44" s="2" t="inlineStr">
        <is>
          <t>percent_plus_fixed</t>
        </is>
      </c>
      <c r="I44" s="2" t="inlineStr">
        <is>
          <t>• WeezTicket online ticketing: 2.5% +0.99 — no set-up fees, bank fees included, no subscription, no commitment, 24/7 customer service, free for free events — 2.5% + CHF 0.99 incl. taxes per ticket sold online</t>
        </is>
      </c>
      <c r="J44" s="2" t="inlineStr"/>
      <c r="K44" s="2" t="inlineStr">
        <is>
          <t>включён: True; свой процессинг: False; bank fees included</t>
        </is>
      </c>
      <c r="L44" s="2" t="inlineStr">
        <is>
          <t>not stated (fee can be shown as organizer cost or added)</t>
        </is>
      </c>
      <c r="M44" s="2" t="inlineStr">
        <is>
          <t>free for free events</t>
        </is>
      </c>
      <c r="N44" s="2" t="inlineStr">
        <is>
          <t>numbered seating 2D/3D is a tailor-made offer (contact)</t>
        </is>
      </c>
      <c r="O44" s="2" t="inlineStr">
        <is>
          <t>every 15 days</t>
        </is>
      </c>
      <c r="P44" s="2" t="inlineStr"/>
      <c r="Q44" s="2" t="inlineStr">
        <is>
          <t>CHF price stated incl. taxes (TTC)</t>
        </is>
      </c>
      <c r="R44" s="2" t="inlineStr">
        <is>
          <t>• tailor-made offer for numbered seating, secure resale, dedicated project manager, on-site booths, virtual queue
• full price-list PDF linked on page</t>
        </is>
      </c>
      <c r="S44" s="2" t="inlineStr">
        <is>
          <t>• {"name": "Access control (WeezAccess)", "price": "free"}
• {"name": "Cashless payment (WeezPay)", "price": "CHF 1.40 (unit not captured on page; EUR 1.20 elsewhere)"}
• {"name": "Staff &amp; accreditation (WeezCrew)", "price": "from CHF 1,000"}
• {"name": "Marketing &amp; CRM (Gigz)", "price": "free"}</t>
        </is>
      </c>
      <c r="T44" s="2" t="inlineStr">
        <is>
          <t>tailor-made offer on request</t>
        </is>
      </c>
      <c r="U44" s="2" t="inlineStr">
        <is>
          <t>festivals, clubs, sports, cashless events; France/Benelux/CH/Canada/UK; self-serve plus project manager</t>
        </is>
      </c>
      <c r="V44" s="2" t="inlineStr">
        <is>
          <t>page</t>
        </is>
      </c>
      <c r="W44" s="2" t="inlineStr">
        <is>
          <t>https://weezevent.com/fr-ch/nos-tarifs/ (Swiss FR pricing page)
https://weezevent.com/en-gb/our-prices/ (international price page with currency tabs)</t>
        </is>
      </c>
    </row>
    <row r="45">
      <c r="A45" s="2" t="inlineStr">
        <is>
          <t>Сев.-Зап. Европа и Швейцария</t>
        </is>
      </c>
      <c r="B45" s="22" t="inlineStr">
        <is>
          <t>Weezevent (WeezTicket)</t>
        </is>
      </c>
      <c r="C45" s="2" t="inlineStr">
        <is>
          <t>https://weezevent.com</t>
        </is>
      </c>
      <c r="D45" s="2" t="inlineStr">
        <is>
          <t>France / Belgium / Euro (international page)</t>
        </is>
      </c>
      <c r="E45" s="2" t="inlineStr">
        <is>
          <t>EUR</t>
        </is>
      </c>
      <c r="F45" s="2" t="inlineStr">
        <is>
          <t>собирает на себя</t>
        </is>
      </c>
      <c r="G45" s="2" t="inlineStr">
        <is>
          <t>revenue paid every 15 days</t>
        </is>
      </c>
      <c r="H45" s="2" t="inlineStr">
        <is>
          <t>percent</t>
        </is>
      </c>
      <c r="I45" s="2" t="inlineStr">
        <is>
          <t>• WeezTicket: 2.5% мин 0.99 — no set-up fee, banking fees included, no subscription, free for free events, support 24/7 — 2.5% per ticket sold online, minimum EUR 0.99 incl. taxes</t>
        </is>
      </c>
      <c r="J45" s="2" t="inlineStr"/>
      <c r="K45" s="2" t="inlineStr">
        <is>
          <t>включён: True; свой процессинг: False; bank fees included</t>
        </is>
      </c>
      <c r="L45" s="2" t="inlineStr"/>
      <c r="M45" s="2" t="inlineStr">
        <is>
          <t>free for free events</t>
        </is>
      </c>
      <c r="N45" s="2" t="inlineStr">
        <is>
          <t>tailor-made</t>
        </is>
      </c>
      <c r="O45" s="2" t="inlineStr">
        <is>
          <t>every 15 days</t>
        </is>
      </c>
      <c r="P45" s="2" t="inlineStr"/>
      <c r="Q45" s="2" t="inlineStr">
        <is>
          <t>minimum EUR 0.99 incl. taxes</t>
        </is>
      </c>
      <c r="R45" s="2" t="inlineStr"/>
      <c r="S45" s="2" t="inlineStr">
        <is>
          <t>• {"name": "Cashless", "price": "EUR 1.20"}
• {"name": "WeezCrew", "price": "from EUR 1,000"}</t>
        </is>
      </c>
      <c r="T45" s="2" t="inlineStr">
        <is>
          <t>tailor-made offer</t>
        </is>
      </c>
      <c r="U45" s="2" t="inlineStr">
        <is>
          <t>festivals, clubs, sports, cashless events; France/Benelux/CH/Canada/UK; self-serve plus project manager</t>
        </is>
      </c>
      <c r="V45" s="2" t="inlineStr">
        <is>
          <t>page</t>
        </is>
      </c>
      <c r="W45" s="2" t="inlineStr">
        <is>
          <t>https://weezevent.com/en-gb/our-prices/ (EUR tab)</t>
        </is>
      </c>
    </row>
    <row r="46">
      <c r="A46" s="2" t="inlineStr">
        <is>
          <t>Сев.-Зап. Европа и Швейцария</t>
        </is>
      </c>
      <c r="B46" s="22" t="inlineStr">
        <is>
          <t>Weezevent (WeezTicket)</t>
        </is>
      </c>
      <c r="C46" s="2" t="inlineStr">
        <is>
          <t>https://weezevent.com</t>
        </is>
      </c>
      <c r="D46" s="2" t="inlineStr">
        <is>
          <t>UK / Canada (for completeness)</t>
        </is>
      </c>
      <c r="E46" s="2" t="inlineStr">
        <is>
          <t>GBP / CAD</t>
        </is>
      </c>
      <c r="F46" s="2" t="inlineStr">
        <is>
          <t>собирает на себя</t>
        </is>
      </c>
      <c r="G46" s="2" t="inlineStr">
        <is>
          <t>paid every 15 days</t>
        </is>
      </c>
      <c r="H46" s="2" t="inlineStr">
        <is>
          <t>percent_plus_fixed</t>
        </is>
      </c>
      <c r="I46" s="2" t="inlineStr">
        <is>
          <t>• UK: 2.5% +0.99 — as above — 2.5% + GBP 0.99 incl. taxes
• Canada: 2.75% +0.99 — as above — 2.75% + CAD 0.99 excl. taxes</t>
        </is>
      </c>
      <c r="J46" s="2" t="inlineStr"/>
      <c r="K46" s="2" t="inlineStr">
        <is>
          <t>включён: True; свой процессинг: False; bank fees included</t>
        </is>
      </c>
      <c r="L46" s="2" t="inlineStr"/>
      <c r="M46" s="2" t="inlineStr">
        <is>
          <t>free for free events</t>
        </is>
      </c>
      <c r="N46" s="2" t="inlineStr"/>
      <c r="O46" s="2" t="inlineStr">
        <is>
          <t>every 15 days</t>
        </is>
      </c>
      <c r="P46" s="2" t="inlineStr"/>
      <c r="Q46" s="2" t="inlineStr">
        <is>
          <t>GBP incl. taxes; CAD excl. taxes</t>
        </is>
      </c>
      <c r="R46" s="2" t="inlineStr"/>
      <c r="S46" s="2" t="inlineStr"/>
      <c r="T46" s="2" t="inlineStr"/>
      <c r="U46" s="2" t="inlineStr">
        <is>
          <t>festivals, clubs, sports, cashless events; France/Benelux/CH/Canada/UK; self-serve plus project manager</t>
        </is>
      </c>
      <c r="V46" s="2" t="inlineStr">
        <is>
          <t>page</t>
        </is>
      </c>
      <c r="W46" s="2" t="inlineStr">
        <is>
          <t>https://weezevent.com/en-gb/our-prices/ (currency tabs)</t>
        </is>
      </c>
    </row>
    <row r="47">
      <c r="A47" s="2" t="inlineStr">
        <is>
          <t>Сев.-Зап. Европа и Швейцария</t>
        </is>
      </c>
      <c r="B47" s="22" t="inlineStr">
        <is>
          <t>Shotgun</t>
        </is>
      </c>
      <c r="C47" s="2" t="inlineStr">
        <is>
          <t>https://shotgun.live</t>
        </is>
      </c>
      <c r="D47" s="2" t="inlineStr">
        <is>
          <t>Europe (France and others)</t>
        </is>
      </c>
      <c r="E47" s="2" t="inlineStr">
        <is>
          <t>EUR</t>
        </is>
      </c>
      <c r="F47" s="2" t="inlineStr">
        <is>
          <t>не выяснено</t>
        </is>
      </c>
      <c r="G47" s="2" t="inlineStr">
        <is>
          <t>not verified; official fee and payout terms not public. Support text: organizer enters price before Shotgun fees; buyer sees price + fees. Buyer-side forum posts say fees are kept on refund even when organizer cancels.</t>
        </is>
      </c>
      <c r="H47" s="2" t="inlineStr">
        <is>
          <t>mixed</t>
        </is>
      </c>
      <c r="I47" s="2" t="inlineStr">
        <is>
          <t>• Self-serve Smartboard:  — event creation, ticketing, waitlist, on-site ops, fan analytics — free to create events (login page: 'in a few minutes and for free'); fee per ticket varies by market and is not published; a third-party page states 'service fee per ticket (varies by market)'</t>
        </is>
      </c>
      <c r="J47" s="2" t="inlineStr"/>
      <c r="K47" s="2" t="inlineStr">
        <is>
          <t>включён: None; свой процессинг: None</t>
        </is>
      </c>
      <c r="L47" s="2" t="inlineStr">
        <is>
          <t>buyer (fees added on top of organizer's price)</t>
        </is>
      </c>
      <c r="M47" s="2" t="inlineStr">
        <is>
          <t>free events supported (third-party)</t>
        </is>
      </c>
      <c r="N47" s="2" t="inlineStr">
        <is>
          <t>third-party comparison: no reserved seating</t>
        </is>
      </c>
      <c r="O47" s="2" t="inlineStr"/>
      <c r="P47" s="2" t="inlineStr">
        <is>
          <t>buyer forum: service fees not refunded when event cancelled; resale fee EUR 4 reported by a Trustpilot reviewer</t>
        </is>
      </c>
      <c r="Q47" s="2" t="inlineStr">
        <is>
          <t>price shown to buyer = organizer price + Shotgun fees, all taxes included</t>
        </is>
      </c>
      <c r="R47" s="2" t="inlineStr">
        <is>
          <t>• official pricing page returned empty; fees not public</t>
        </is>
      </c>
      <c r="S47" s="2" t="inlineStr"/>
      <c r="T47" s="2" t="inlineStr">
        <is>
          <t>contact sales</t>
        </is>
      </c>
      <c r="U47" s="2" t="inlineStr">
        <is>
          <t>electronic music / clubs / festivals promoters in FR, ES, DE, NL, BE, IT, UK; fan marketplace app</t>
        </is>
      </c>
      <c r="V47" s="2" t="inlineStr">
        <is>
          <t>snippet</t>
        </is>
      </c>
      <c r="W47" s="2" t="inlineStr">
        <is>
          <t>https://support-pro.shotgun.live/hc/en-us/articles/14551930820882-Set-up-your-ticketing (organizer help: price before Shotgun fees)
https://www.ticketfairy.mx/posh-vs-shotgun (third-party comparison)</t>
        </is>
      </c>
    </row>
    <row r="48">
      <c r="A48" s="2" t="inlineStr">
        <is>
          <t>Сев.-Зап. Европа и Швейцария</t>
        </is>
      </c>
      <c r="B48" s="22" t="inlineStr">
        <is>
          <t>DICE (DICE Partners / MIO self sign-up)</t>
        </is>
      </c>
      <c r="C48" s="2" t="inlineStr">
        <is>
          <t>https://dice.fm/partners</t>
        </is>
      </c>
      <c r="D48" s="2" t="inlineStr">
        <is>
          <t>UK and Ireland (self sign-up terms)</t>
        </is>
      </c>
      <c r="E48" s="2" t="inlineStr">
        <is>
          <t>GBP</t>
        </is>
      </c>
      <c r="F48" s="2" t="inlineStr">
        <is>
          <t>собирает на себя</t>
        </is>
      </c>
      <c r="G48" s="2" t="inlineStr">
        <is>
          <t>DICE collects all Sales Proceeds as disclosed agent; pays vendor within 5 business days after the event performance (self-payout available); can pay advances; may withhold up to 5% of proceeds for 6 months after each event as chargeback allowance; vendor pays bank charges on payouts</t>
        </is>
      </c>
      <c r="H48" s="2" t="inlineStr">
        <is>
          <t>percent_plus_fixed</t>
        </is>
      </c>
      <c r="I48" s="2" t="inlineStr">
        <is>
          <t>• Standard self sign-up: 8.5% мин 1.0 — DICE app and web, MIO dashboard, waiting list, analytics — service fee 8.5% of face value + VAT, min GBP 1 per ticket, PLUS transaction fee 2.5% + VAT of (face value + service fee); DICE keeps 100% of both; nothing charged on free tickets; the same fees apply to paid add-on items; fees are hidden inside the displayed price (DICE shows no fee line)
• Box office / door sales: 8% мин 1.0 потолок 3.5 — DICE box office terminals — 8% commission min GBP 1 max GBP 3.50 on box office/door sales, plus 3% transaction fee on terminal sales</t>
        </is>
      </c>
      <c r="J48" s="2" t="inlineStr"/>
      <c r="K48" s="2" t="inlineStr">
        <is>
          <t>включён: True; свой процессинг: False; covered by the 2.5% transaction fee; доп. сбор: 2.5</t>
        </is>
      </c>
      <c r="L48" s="2" t="inlineStr">
        <is>
          <t>buyer sees one all-in price; economically the fee is carved from face value / added to it per vendor agreement; help-centre text says booking fee is split between DICE and organizers</t>
        </is>
      </c>
      <c r="M48" s="2" t="inlineStr">
        <is>
          <t>free tickets carry no fee</t>
        </is>
      </c>
      <c r="N48" s="2" t="inlineStr"/>
      <c r="O48" s="2" t="inlineStr">
        <is>
          <t>5 business days after event; chargeback reserve up to 5% for 6 months</t>
        </is>
      </c>
      <c r="P48" s="2" t="inlineStr">
        <is>
          <t>organizer is responsible for chargebacks and refunds on cancellation; DICE may claim damages and invoice within 90 days; vendor must repay service-fee rebates on refunds</t>
        </is>
      </c>
      <c r="Q48" s="2" t="inlineStr">
        <is>
          <t>service and transaction fees are plus VAT</t>
        </is>
      </c>
      <c r="R48" s="2" t="inlineStr">
        <is>
          <t>• service fee caps can be negotiated; DICE may raise cap up to 5% annually
• waiting list resale: DICE keeps price difference unless agreed
• damages payable if event cancelled, rescheduled, curtailed
• effective all-in on a GBP 20 ticket about GBP 2.45 before VAT (derived by coordinator, not a quote)</t>
        </is>
      </c>
      <c r="S48" s="2" t="inlineStr"/>
      <c r="T48" s="2" t="inlineStr">
        <is>
          <t>negotiated terms with cap for larger partners</t>
        </is>
      </c>
      <c r="U48" s="2" t="inlineStr">
        <is>
          <t>music promoters, venues, festivals; app-first marketplace with waiting list, discovery feed</t>
        </is>
      </c>
      <c r="V48" s="2" t="inlineStr">
        <is>
          <t>page</t>
        </is>
      </c>
      <c r="W48" s="2" t="inlineStr">
        <is>
          <t>https://support.dice.fm/article/758-mio-ticketing-terms-and-conditions-uk (DICE Self Sign-Up Terms UK &amp; Ireland (28 Apr 2026))
https://dicefm.zendesk.com/hc/en-gb/articles/19919684020113-How-DICE-fees-work (fan-facing fees article)</t>
        </is>
      </c>
    </row>
    <row r="49">
      <c r="A49" s="2" t="inlineStr">
        <is>
          <t>Сев.-Зап. Европа и Швейцария</t>
        </is>
      </c>
      <c r="B49" s="22" t="inlineStr">
        <is>
          <t>DICE (DICE Partners / MIO self sign-up)</t>
        </is>
      </c>
      <c r="C49" s="2" t="inlineStr">
        <is>
          <t>https://dice.fm/partners</t>
        </is>
      </c>
      <c r="D49" s="2" t="inlineStr">
        <is>
          <t>Continental Europe (FR/DE/ES/IT/NL)</t>
        </is>
      </c>
      <c r="E49" s="2" t="inlineStr">
        <is>
          <t>EUR</t>
        </is>
      </c>
      <c r="F49" s="2" t="inlineStr">
        <is>
          <t>собирает на себя</t>
        </is>
      </c>
      <c r="G49" s="2" t="inlineStr">
        <is>
          <t>assumed same agent model; EU terms not located</t>
        </is>
      </c>
      <c r="H49" s="2" t="inlineStr">
        <is>
          <t>negotiated</t>
        </is>
      </c>
      <c r="I49" s="2" t="inlineStr"/>
      <c r="J49" s="2" t="inlineStr"/>
      <c r="K49" s="2" t="inlineStr">
        <is>
          <t>включён: True; свой процессинг: False</t>
        </is>
      </c>
      <c r="L49" s="2" t="inlineStr"/>
      <c r="M49" s="2" t="inlineStr"/>
      <c r="N49" s="2" t="inlineStr"/>
      <c r="O49" s="2" t="inlineStr"/>
      <c r="P49" s="2" t="inlineStr"/>
      <c r="Q49" s="2" t="inlineStr"/>
      <c r="R49" s="2" t="inlineStr">
        <is>
          <t>• EU self-signup terms not found; a third-party blog (hi.events, Dec 2025) claims DICE charges 'around 10 percent per ticket' - snippet-level, unverified</t>
        </is>
      </c>
      <c r="S49" s="2" t="inlineStr"/>
      <c r="T49" s="2" t="inlineStr"/>
      <c r="U49" s="2" t="inlineStr">
        <is>
          <t>music promoters, venues, festivals; app-first marketplace with waiting list, discovery feed</t>
        </is>
      </c>
      <c r="V49" s="2" t="inlineStr">
        <is>
          <t>third_party</t>
        </is>
      </c>
      <c r="W49" s="2" t="inlineStr">
        <is>
          <t>https://blog.hi.events/best-dice-fm-alternatives-for-nightlife-promoters-in-2026/ (competitor blog claim)</t>
        </is>
      </c>
    </row>
    <row r="50">
      <c r="A50" s="2" t="inlineStr">
        <is>
          <t>Сев.-Зап. Европа и Швейцария</t>
        </is>
      </c>
      <c r="B50" s="22" t="inlineStr">
        <is>
          <t>HelloAsso</t>
        </is>
      </c>
      <c r="C50" s="2" t="inlineStr">
        <is>
          <t>https://www.helloasso.com</t>
        </is>
      </c>
      <c r="D50" s="2" t="inlineStr">
        <is>
          <t>France (associations only)</t>
        </is>
      </c>
      <c r="E50" s="2" t="inlineStr">
        <is>
          <t>EUR</t>
        </is>
      </c>
      <c r="F50" s="2" t="inlineStr">
        <is>
          <t>собирает на себя</t>
        </is>
      </c>
      <c r="G50" s="2" t="inlineStr">
        <is>
          <t>HelloAsso is an ACPR-licensed payment institution and collects; association receives 100% of the amount collected; HelloAsso pays the payment-provider costs itself (about 20% of contributions go to transaction costs). Payout timing not captured.</t>
        </is>
      </c>
      <c r="H50" s="2" t="inlineStr">
        <is>
          <t>free_buyer_pays</t>
        </is>
      </c>
      <c r="I50" s="2" t="inlineStr">
        <is>
          <t>• Free for associations: 0% +0 — ticketing, membership, donations, crowdfunding, shop, scan app, API — 0 fees, 0 commission, 0 hidden costs; financed by a voluntary contribution (tip) suggested to the payer on every transaction (pay-what-you-want style); about half of payers leave a tip per HelloAsso</t>
        </is>
      </c>
      <c r="J50" s="2" t="inlineStr"/>
      <c r="K50" s="2" t="inlineStr">
        <is>
          <t>включён: True; свой процессинг: False; HelloAsso (own payment institution); absorbed by HelloAsso, bank fees shown as 1.8% for 'other platforms' in their comparison</t>
        </is>
      </c>
      <c r="L50" s="2" t="inlineStr">
        <is>
          <t>buyer (optional tip) - organizer pays nothing</t>
        </is>
      </c>
      <c r="M50" s="2" t="inlineStr">
        <is>
          <t>free</t>
        </is>
      </c>
      <c r="N50" s="2" t="inlineStr"/>
      <c r="O50" s="2" t="inlineStr"/>
      <c r="P50" s="2" t="inlineStr"/>
      <c r="Q50" s="2" t="inlineStr">
        <is>
          <t>no platform fee; voluntary buyer contribution</t>
        </is>
      </c>
      <c r="R50" s="2" t="inlineStr">
        <is>
          <t>• only for associations / non-profit legal forms (not for commercial organizers)
• marketing comparison claims other platforms take 2.4% commission + 1.8% bank fees (EUR 4.2 on 100 EUR)
• optional paid 'Billetterie Plus' / 'Plus par HelloAsso' offers exist (not priced on this page)</t>
        </is>
      </c>
      <c r="S50" s="2" t="inlineStr">
        <is>
          <t>• {"name": "Billetterie Plus / Plus par HelloAsso", "price": "not captured"}</t>
        </is>
      </c>
      <c r="T50" s="2" t="inlineStr"/>
      <c r="U50" s="2" t="inlineStr">
        <is>
          <t>French associations/clubs/foundations (non-profit only): ticketing, membership, donations, crowdfunding</t>
        </is>
      </c>
      <c r="V50" s="2" t="inlineStr">
        <is>
          <t>page</t>
        </is>
      </c>
      <c r="W50" s="2" t="inlineStr">
        <is>
          <t>https://www.helloasso.com/tarifs (pricing / economic model page)</t>
        </is>
      </c>
    </row>
    <row r="51">
      <c r="A51" s="2" t="inlineStr">
        <is>
          <t>Сев.-Зап. Европа и Швейцария</t>
        </is>
      </c>
      <c r="B51" s="22" t="inlineStr">
        <is>
          <t>Billetweb</t>
        </is>
      </c>
      <c r="C51" s="2" t="inlineStr">
        <is>
          <t>https://www.billetweb.fr</t>
        </is>
      </c>
      <c r="D51" s="2" t="inlineStr">
        <is>
          <t>France</t>
        </is>
      </c>
      <c r="E51" s="2" t="inlineStr">
        <is>
          <t>EUR</t>
        </is>
      </c>
      <c r="F51" s="2" t="inlineStr">
        <is>
          <t>собирает на себя</t>
        </is>
      </c>
      <c r="G51" s="2" t="inlineStr">
        <is>
          <t>Billetweb works with a specialised banking partner for funds safeguarding (cantonnement de fonds); commission deducted from online card sales; payout timing not captured</t>
        </is>
      </c>
      <c r="H51" s="2" t="inlineStr">
        <is>
          <t>percent_plus_fixed</t>
        </is>
      </c>
      <c r="I51" s="2" t="inlineStr">
        <is>
          <t>• Standard (all features): 1% +0.29 — all features, bank fees included, no subscription or commitment, free for free events* — EUR 0.29 + 1% per ticket paid online; commission applies only to online (card) payments; refunds free of charge; cancellation of event refunded in one click without extra fee</t>
        </is>
      </c>
      <c r="J51" s="2" t="inlineStr"/>
      <c r="K51" s="2" t="inlineStr">
        <is>
          <t>включён: True; свой процессинг: None; bank fees included in commission</t>
        </is>
      </c>
      <c r="L51" s="2" t="inlineStr">
        <is>
          <t>organizer or buyer (organizer decides; commission can be added)</t>
        </is>
      </c>
      <c r="M51" s="2" t="inlineStr">
        <is>
          <t>free for free events (asterisk conditions not captured)</t>
        </is>
      </c>
      <c r="N51" s="2" t="inlineStr">
        <is>
          <t>numbered seating +EUR 0.10 per ticket issued</t>
        </is>
      </c>
      <c r="O51" s="2" t="inlineStr"/>
      <c r="P51" s="2" t="inlineStr">
        <is>
          <t>refunds free</t>
        </is>
      </c>
      <c r="Q51" s="2" t="inlineStr">
        <is>
          <t>not stated (price presented as commission 'frais bancaires inclus')</t>
        </is>
      </c>
      <c r="R51" s="2" t="inlineStr">
        <is>
          <t>• asterisk on 'free for free events' not captured
• price list PDF linked (binary, not readable)</t>
        </is>
      </c>
      <c r="S51" s="2" t="inlineStr">
        <is>
          <t>• {"name": "Cashless", "price": "from EUR 1 per attendee"}
• {"name": "Box office ticket editing (on-site sale)", "price": "free"}
• {"name": "Box office rental", "price": "EUR 100 per day"}
• {"name": "Access control mobile app", "price": "free"}
• {"name": "Access control terminal rental", "price": "EUR 70 per day"}
• {"name": "CRM up to 100,000 contacts", "price": "free"}
• {"name": "Partner area up to 10,000 invitations", "price": "free"}</t>
        </is>
      </c>
      <c r="T51" s="2" t="inlineStr">
        <is>
          <t>large-account offer (white label, field teams) via contact</t>
        </is>
      </c>
      <c r="U51" s="2" t="inlineStr">
        <is>
          <t>French self-serve ticketing for associations, theatres, festivals, companies (25,000+ organizers), claims best price on market</t>
        </is>
      </c>
      <c r="V51" s="2" t="inlineStr">
        <is>
          <t>page</t>
        </is>
      </c>
      <c r="W51" s="2" t="inlineStr">
        <is>
          <t>https://www.billetweb.fr/fr-fr/tarifs (pricing page)
https://www.billetweb.fr/fr-fr/questions-frequentes (FAQ)</t>
        </is>
      </c>
    </row>
    <row r="52">
      <c r="A52" s="2" t="inlineStr">
        <is>
          <t>Сев.-Зап. Европа и Швейцария</t>
        </is>
      </c>
      <c r="B52" s="22" t="inlineStr">
        <is>
          <t>Yurplan</t>
        </is>
      </c>
      <c r="C52" s="2" t="inlineStr">
        <is>
          <t>https://yurplan.com</t>
        </is>
      </c>
      <c r="D52" s="2" t="inlineStr">
        <is>
          <t>France</t>
        </is>
      </c>
      <c r="E52" s="2" t="inlineStr">
        <is>
          <t>EUR</t>
        </is>
      </c>
      <c r="F52" s="2" t="inlineStr">
        <is>
          <t>собирает на себя</t>
        </is>
      </c>
      <c r="G52" s="2" t="inlineStr">
        <is>
          <t>treasury managed by Yurplan ('vos fonds geres sereinement'); cash-advance feature exists; third-party source (Clubic) says funds paid within 2 working days - not confirmed on official page</t>
        </is>
      </c>
      <c r="H52" s="2" t="inlineStr">
        <is>
          <t>mixed</t>
        </is>
      </c>
      <c r="I52" s="2" t="inlineStr">
        <is>
          <t>• Standard: 1% +0.39 — online ticketing, tickets visual, dedicated site, tracking links, scan app, box office software, dashboards, email support — EUR 0.39 + 1% excl. VAT per paid ticket, bank fees included, no extra buyer fee; free tickets free of commission; every ticket generated (free or paid, even cancelled) counts against annual ticket quota; the Standard column shows unlimited tickets
• Boost: 1% +0.39 10/мес — CRM, mail campaigns (500 mails/month), full ticket customisation, ticket import, statistics comparison — from EUR 10 excl. VAT per month billed annually at the smallest tier (100 tickets/yr); price scales with tickets/year (steps up to 50,000+, custom beyond); additional tickets EUR 0.20 excl. VAT each billed monthly; extra 1000 mails EUR 1
• Advanced: 1% +0.39 72/мес — Boost + partner/exhibitor management, invitations and badges, event programme, registration codes, Yurplan logo removed, priority contact — from EUR 72 excl. VAT per month; custom price</t>
        </is>
      </c>
      <c r="J52" s="2" t="inlineStr"/>
      <c r="K52" s="2" t="inlineStr">
        <is>
          <t>включён: True; свой процессинг: False; Visa, Mastercard, CB, Apple Pay; bank fees included in commission</t>
        </is>
      </c>
      <c r="L52" s="2" t="inlineStr">
        <is>
          <t>organizer (no supplementary buyer fee)</t>
        </is>
      </c>
      <c r="M52" s="2" t="inlineStr">
        <is>
          <t>no commission, but count toward licence quota</t>
        </is>
      </c>
      <c r="N52" s="2" t="inlineStr">
        <is>
          <t>numbered placement +EUR 0.40 excl. VAT per ticket</t>
        </is>
      </c>
      <c r="O52" s="2" t="inlineStr">
        <is>
          <t>see money_flow_note</t>
        </is>
      </c>
      <c r="P52" s="2" t="inlineStr">
        <is>
          <t>EUR 1 excl. VAT per refunded order</t>
        </is>
      </c>
      <c r="Q52" s="2" t="inlineStr">
        <is>
          <t>commissions quoted excl. VAT (HT); ticket price calculator uses TTC</t>
        </is>
      </c>
      <c r="R52" s="2" t="inlineStr">
        <is>
          <t>• annual 12-month commitment option: pay annually saves 2 months; upgrades pro-rata immediately, downgrades at anniversary
• ticket quota alert at 80%; overage billed monthly per licence grid
• exhibitor scan app +EUR 50 excl. VAT per exhibitor (Advanced)
• hardware rental, project manager and on-site technicians quoted on request
• third-party sources show older rates 0.49 EUR + 2% above EUR 30 (Clubic) - superseded</t>
        </is>
      </c>
      <c r="S52" s="2" t="inlineStr">
        <is>
          <t>• {"name": "Numbered seating", "price": "+EUR 0.40 excl. VAT per ticket"}
• {"name": "Exhibitor scan app", "price": "+EUR 50 excl. VAT per exhibitor"}
• {"name": "Equipment rental, on-site staff", "price": "on request"}</t>
        </is>
      </c>
      <c r="T52" s="2" t="inlineStr">
        <is>
          <t>high volumes: contact sales</t>
        </is>
      </c>
      <c r="U52" s="2" t="inlineStr">
        <is>
          <t>French events: clubs, festivals, trade shows, student events; 46,000 organizers; licence tiers for CRM/partners</t>
        </is>
      </c>
      <c r="V52" s="2" t="inlineStr">
        <is>
          <t>page</t>
        </is>
      </c>
      <c r="W52" s="2" t="inlineStr">
        <is>
          <t>https://yurplan.com/tarifs (official pricing page)
https://www.capterra.fr/software/184391/yurplan (Capterra listing (search snippet) showing 0.39 EUR + 1%)</t>
        </is>
      </c>
    </row>
    <row r="53">
      <c r="A53" s="2" t="inlineStr">
        <is>
          <t>Сев.-Зап. Европа и Швейцария</t>
        </is>
      </c>
      <c r="B53" s="22" t="inlineStr">
        <is>
          <t>Fienta</t>
        </is>
      </c>
      <c r="C53" s="2" t="inlineStr">
        <is>
          <t>https://fienta.com</t>
        </is>
      </c>
      <c r="D53" s="2" t="inlineStr">
        <is>
          <t>Global (page served in USD in this session; EUR for PayPal add-on)</t>
        </is>
      </c>
      <c r="E53" s="2" t="inlineStr">
        <is>
          <t>USD / EUR</t>
        </is>
      </c>
      <c r="F53" s="2" t="inlineStr">
        <is>
          <t>собирает на себя</t>
        </is>
      </c>
      <c r="G53" s="2" t="inlineStr">
        <is>
          <t>Fienta has built-in card/bank-link/invoice payments (no separate provider registration); standard payout monthly, extra payouts on request; no payout fees</t>
        </is>
      </c>
      <c r="H53" s="2" t="inlineStr">
        <is>
          <t>percent_plus_fixed</t>
        </is>
      </c>
      <c r="I53" s="2" t="inlineStr">
        <is>
          <t>• Free events: 0% +0 — registration, confirmations, ticket scanning, attendee list management/export — free for free events
• Paid tickets: 3.5% мин 0.4 — payment methods usually charged separately elsewhere, all core features except seating charts, live chat support — 3.5% fee on ticket sales with a minimum of USD 0.40 PER ORDER (not per ticket); VAT on fee where applicable</t>
        </is>
      </c>
      <c r="J53" s="2" t="inlineStr"/>
      <c r="K53" s="2" t="inlineStr">
        <is>
          <t>включён: True; свой процессинг: False; cards, bank links, invoice payment, PayPal (EUR events only); most bank/card fees included; PayPal is an add-on; доп. сбор: PayPal add-on 1% + EUR 0.35 per transaction</t>
        </is>
      </c>
      <c r="L53" s="2" t="inlineStr">
        <is>
          <t>organizer (no buyer fees; buyers pay only the price you set)</t>
        </is>
      </c>
      <c r="M53" s="2" t="inlineStr">
        <is>
          <t>free</t>
        </is>
      </c>
      <c r="N53" s="2" t="inlineStr">
        <is>
          <t>reserved seating +USD 0.20 per sold ticket</t>
        </is>
      </c>
      <c r="O53" s="2" t="inlineStr">
        <is>
          <t>monthly standard, extra payouts on request, no payout fee</t>
        </is>
      </c>
      <c r="P53" s="2" t="inlineStr"/>
      <c r="Q53" s="2" t="inlineStr">
        <is>
          <t>24% VAT added to the fee for private individuals in the EU, EU companies without VAT number, and customers in Estonia; no VAT for non-EU or EU companies (outside Estonia) with valid VAT ID</t>
        </is>
      </c>
      <c r="R53" s="2" t="inlineStr">
        <is>
          <t>• no sign-up, monthly or payout fees
• example on page: EUR 20 ticket -&gt; EUR 0.70 fee, EUR 0.87 with 24% VAT
• page currency appears geo-dependent; EUR/other variants not captured</t>
        </is>
      </c>
      <c r="S53" s="2" t="inlineStr">
        <is>
          <t>• {"name": "Reserved seating", "price": "+0.20 USD per sold ticket"}
• {"name": "PayPal payments", "price": "1% + EUR 0.35 per transaction"}</t>
        </is>
      </c>
      <c r="T53" s="2" t="inlineStr"/>
      <c r="U53" s="2" t="inlineStr">
        <is>
          <t>events/conferences/theatres/sports in Estonia, Baltics, Europe; built-in payments; 'no buyer fees'</t>
        </is>
      </c>
      <c r="V53" s="2" t="inlineStr">
        <is>
          <t>page</t>
        </is>
      </c>
      <c r="W53" s="2" t="inlineStr">
        <is>
          <t>https://fienta.com/pricing (pricing page (also /p/pricing))</t>
        </is>
      </c>
    </row>
    <row r="54">
      <c r="A54" s="2" t="inlineStr">
        <is>
          <t>Сев.-Зап. Европа и Швейцария</t>
        </is>
      </c>
      <c r="B54" s="22" t="inlineStr">
        <is>
          <t>Paylogic (EVENTIM Benelux)</t>
        </is>
      </c>
      <c r="C54" s="2" t="inlineStr">
        <is>
          <t>https://www.paylogic.com</t>
        </is>
      </c>
      <c r="D54" s="2" t="inlineStr">
        <is>
          <t>Benelux / DE</t>
        </is>
      </c>
      <c r="E54" s="2" t="inlineStr">
        <is>
          <t>EUR</t>
        </is>
      </c>
      <c r="F54" s="2" t="inlineStr">
        <is>
          <t>не выяснено</t>
        </is>
      </c>
      <c r="G54" s="2" t="inlineStr">
        <is>
          <t>no public terms; enterprise platform</t>
        </is>
      </c>
      <c r="H54" s="2" t="inlineStr">
        <is>
          <t>negotiated</t>
        </is>
      </c>
      <c r="I54" s="2" t="inlineStr"/>
      <c r="J54" s="2" t="inlineStr"/>
      <c r="K54" s="2" t="inlineStr">
        <is>
          <t>включён: None; свой процессинг: None</t>
        </is>
      </c>
      <c r="L54" s="2" t="inlineStr"/>
      <c r="M54" s="2" t="inlineStr"/>
      <c r="N54" s="2" t="inlineStr"/>
      <c r="O54" s="2" t="inlineStr"/>
      <c r="P54" s="2" t="inlineStr"/>
      <c r="Q54" s="2" t="inlineStr"/>
      <c r="R54" s="2" t="inlineStr">
        <is>
          <t>• site shows only features and case studies; 'work together' lead form; no pricing</t>
        </is>
      </c>
      <c r="S54" s="2" t="inlineStr"/>
      <c r="T54" s="2" t="inlineStr">
        <is>
          <t>contact sales only</t>
        </is>
      </c>
      <c r="U54" s="2" t="inlineStr">
        <is>
          <t>enterprise ticketing for large festivals and events (Dour, Awakenings, ADE) in NL/BE/DE</t>
        </is>
      </c>
      <c r="V54" s="2" t="inlineStr">
        <is>
          <t>page</t>
        </is>
      </c>
      <c r="W54" s="2" t="inlineStr">
        <is>
          <t>https://www.paylogic.com/ (home page)</t>
        </is>
      </c>
    </row>
    <row r="55">
      <c r="A55" s="2" t="inlineStr">
        <is>
          <t>Сев.-Зап. Европа и Швейцария</t>
        </is>
      </c>
      <c r="B55" s="22" t="inlineStr">
        <is>
          <t>Ticketkantoor</t>
        </is>
      </c>
      <c r="C55" s="2" t="inlineStr">
        <is>
          <t>https://www.ticketkantoor.nl</t>
        </is>
      </c>
      <c r="D55" s="2" t="inlineStr">
        <is>
          <t>Netherlands / Belgium</t>
        </is>
      </c>
      <c r="E55" s="2" t="inlineStr">
        <is>
          <t>EUR</t>
        </is>
      </c>
      <c r="F55" s="2" t="inlineStr">
        <is>
          <t>собирает на себя</t>
        </is>
      </c>
      <c r="G55" s="2" t="inlineStr">
        <is>
          <t>Ticketkantoor handles payment; pays out within 3 working days after the organizer closes the event in the system; fee withheld from collected amount, no separate invoice, payout is free</t>
        </is>
      </c>
      <c r="H55" s="2" t="inlineStr">
        <is>
          <t>flat_per_ticket</t>
        </is>
      </c>
      <c r="I55" s="2" t="inlineStr">
        <is>
          <t>• All-in flat tariff: +0.8 — iDEAL/Wero, Bancontact, Pay by Bank (to EUR 20 tickets), seated placement, time slots, discount codes, group discounts, vouchers, free scan app, own styling — EUR 0.80 per ISSUED ticket incl. VAT and transaction costs, charged on all tickets also those without electronic payment and also on cancelled events; no setup, subscription, per-event or payout fees</t>
        </is>
      </c>
      <c r="J55" s="2" t="inlineStr"/>
      <c r="K55" s="2" t="inlineStr">
        <is>
          <t>включён: True; свой процессинг: False; iDEAL, Wero, Bancontact, Pay by Bank (DE, SE, UK, NO, FI, EE, LV, LT, CZ); included in EUR 0.80</t>
        </is>
      </c>
      <c r="L55" s="2" t="inlineStr">
        <is>
          <t>organizer (buyer pays nothing extra; fee must be built into ticket price - platform says ACM all-in price rules make this mandatory)</t>
        </is>
      </c>
      <c r="M55" s="2" t="inlineStr">
        <is>
          <t>fee also charged where no electronic payment is involved (every issued ticket)</t>
        </is>
      </c>
      <c r="N55" s="2" t="inlineStr">
        <is>
          <t>seated placement included at no extra cost</t>
        </is>
      </c>
      <c r="O55" s="2" t="inlineStr">
        <is>
          <t>within 3 working days after event closed</t>
        </is>
      </c>
      <c r="P55" s="2" t="inlineStr">
        <is>
          <t>cancelled event: still pay service fee for issued tickets; no extra cancellation fee</t>
        </is>
      </c>
      <c r="Q55" s="2" t="inlineStr">
        <is>
          <t>EUR 0.80 includes 21% VAT (about EUR 0.66 excl. VAT if VAT reclaimable)</t>
        </is>
      </c>
      <c r="R55" s="2" t="inlineStr">
        <is>
          <t>• Pay by Bank inside standard tariff only up to ticket price EUR 20; contact for higher
• no credit card payments listed</t>
        </is>
      </c>
      <c r="S55" s="2" t="inlineStr"/>
      <c r="T55" s="2" t="inlineStr"/>
      <c r="U55" s="2" t="inlineStr">
        <is>
          <t>Dutch/Belgian self-service for clubs, associations, theatres, small events (6,900 organizers, 5.2M tickets)</t>
        </is>
      </c>
      <c r="V55" s="2" t="inlineStr">
        <is>
          <t>page</t>
        </is>
      </c>
      <c r="W55" s="2" t="inlineStr">
        <is>
          <t>https://www.ticketkantoor.nl/tarieven (tariffs page)
https://www.ticketkantoor.nl/faq (FAQ costs and payout)</t>
        </is>
      </c>
    </row>
    <row r="56">
      <c r="A56" s="2" t="inlineStr">
        <is>
          <t>Сев.-Зап. Европа и Швейцария</t>
        </is>
      </c>
      <c r="B56" s="22" t="inlineStr">
        <is>
          <t>GUTS Tickets (now CM.com Ticketing)</t>
        </is>
      </c>
      <c r="C56" s="2" t="inlineStr">
        <is>
          <t>https://www.cm.com/ticketing/</t>
        </is>
      </c>
      <c r="D56" s="2" t="inlineStr">
        <is>
          <t>Netherlands / Benelux</t>
        </is>
      </c>
      <c r="E56" s="2" t="inlineStr">
        <is>
          <t>EUR</t>
        </is>
      </c>
      <c r="F56" s="2" t="inlineStr">
        <is>
          <t>не выяснено</t>
        </is>
      </c>
      <c r="G56" s="2" t="inlineStr">
        <is>
          <t>not verified</t>
        </is>
      </c>
      <c r="H56" s="2" t="inlineStr">
        <is>
          <t>flat_per_ticket</t>
        </is>
      </c>
      <c r="I56" s="2" t="inlineStr">
        <is>
          <t>• CM.com Ticketing (ex-GUTS): +0.79 — 'from EUR 0.79 per ticket' per a competitor comparison (mijnevent.nl); CM.com's own ticketing page showed no price</t>
        </is>
      </c>
      <c r="J56" s="2" t="inlineStr"/>
      <c r="K56" s="2" t="inlineStr">
        <is>
          <t>включён: None; свой процессинг: None; provider transaction costs on top (per comparison source)</t>
        </is>
      </c>
      <c r="L56" s="2" t="inlineStr"/>
      <c r="M56" s="2" t="inlineStr"/>
      <c r="N56" s="2" t="inlineStr"/>
      <c r="O56" s="2" t="inlineStr"/>
      <c r="P56" s="2" t="inlineStr"/>
      <c r="Q56" s="2" t="inlineStr"/>
      <c r="R56" s="2" t="inlineStr">
        <is>
          <t>• competitor-sourced number (mijnevent.nl, which sells at EUR 0.25/ticket) - treat as third_party</t>
        </is>
      </c>
      <c r="S56" s="2" t="inlineStr"/>
      <c r="T56" s="2" t="inlineStr">
        <is>
          <t>contact CM.com sales</t>
        </is>
      </c>
      <c r="U56" s="2" t="inlineStr">
        <is>
          <t>fraud-proof/blockchain ticketing with resale cap; acquired by CM.com and merged into CM.com Ticketing (guts.tickets redirects)</t>
        </is>
      </c>
      <c r="V56" s="2" t="inlineStr">
        <is>
          <t>third_party</t>
        </is>
      </c>
      <c r="W56" s="2" t="inlineStr">
        <is>
          <t>https://mijnevent.nl/en/vs/guts-tickets (competitor comparison)
https://www.cm.com/ticketing/ (CM.com ticketing page (no price))</t>
        </is>
      </c>
    </row>
    <row r="57">
      <c r="A57" s="2" t="inlineStr">
        <is>
          <t>Сев.-Зап. Европа и Швейцария</t>
        </is>
      </c>
      <c r="B57" s="22" t="inlineStr">
        <is>
          <t>Tixly (the 'Tix' ticketing software, Nordics/Benelux venues)</t>
        </is>
      </c>
      <c r="C57" s="2" t="inlineStr">
        <is>
          <t>https://www.tixly.com</t>
        </is>
      </c>
      <c r="D57" s="2" t="inlineStr">
        <is>
          <t>Nordics / Belgium</t>
        </is>
      </c>
      <c r="E57" s="2" t="inlineStr">
        <is>
          <t>EUR (not stated)</t>
        </is>
      </c>
      <c r="F57" s="2" t="inlineStr">
        <is>
          <t>не выяснено</t>
        </is>
      </c>
      <c r="G57" s="2" t="inlineStr">
        <is>
          <t>venue connects payment providers 'already supported'; likely direct to venue but not stated explicitly</t>
        </is>
      </c>
      <c r="H57" s="2" t="inlineStr">
        <is>
          <t>flat_per_ticket</t>
        </is>
      </c>
      <c r="I57" s="2" t="inlineStr">
        <is>
          <t>• Per-ticket volume pricing:  — setup, data migration, hosting, support, training, unlimited users, standard integrations at no fee — a transparent fixed per-ticket rate set from annual volume, number of venues and region; no upfront licence; competitors quoted as EUR 10k-100k+ upfront; no number published</t>
        </is>
      </c>
      <c r="J57" s="2" t="inlineStr"/>
      <c r="K57" s="2" t="inlineStr">
        <is>
          <t>включён: False; свой процессинг: True</t>
        </is>
      </c>
      <c r="L57" s="2" t="inlineStr"/>
      <c r="M57" s="2" t="inlineStr">
        <is>
          <t>FAQ 'Do complimentary tickets incur a fee?' present but answer not captured</t>
        </is>
      </c>
      <c r="N57" s="2" t="inlineStr"/>
      <c r="O57" s="2" t="inlineStr"/>
      <c r="P57" s="2" t="inlineStr"/>
      <c r="Q57" s="2" t="inlineStr"/>
      <c r="R57" s="2" t="inlineStr">
        <is>
          <t>• implementation 4-12 weeks
• no public prices</t>
        </is>
      </c>
      <c r="S57" s="2" t="inlineStr"/>
      <c r="T57" s="2" t="inlineStr">
        <is>
          <t>book a demo / quote</t>
        </is>
      </c>
      <c r="U57" s="2" t="inlineStr">
        <is>
          <t>performing-arts venues and culture houses (Odense Teater, Musikhuset Aarhus, Kalmarsalen, De Singel); venue software not a marketplace</t>
        </is>
      </c>
      <c r="V57" s="2" t="inlineStr">
        <is>
          <t>page</t>
        </is>
      </c>
      <c r="W57" s="2" t="inlineStr">
        <is>
          <t>https://www.tixly.com/pricing (pricing page)</t>
        </is>
      </c>
    </row>
    <row r="58">
      <c r="A58" s="2" t="inlineStr">
        <is>
          <t>Сев.-Зап. Европа и Швейцария</t>
        </is>
      </c>
      <c r="B58" s="22" t="inlineStr">
        <is>
          <t>Tikkio</t>
        </is>
      </c>
      <c r="C58" s="2" t="inlineStr">
        <is>
          <t>https://tikkio.com</t>
        </is>
      </c>
      <c r="D58" s="2" t="inlineStr">
        <is>
          <t>Norway / Nordics</t>
        </is>
      </c>
      <c r="E58" s="2" t="inlineStr">
        <is>
          <t>NOK</t>
        </is>
      </c>
      <c r="F58" s="2" t="inlineStr">
        <is>
          <t>не выяснено</t>
        </is>
      </c>
      <c r="G58" s="2" t="inlineStr"/>
      <c r="H58" s="2" t="n"/>
      <c r="I58" s="2" t="inlineStr"/>
      <c r="J58" s="2" t="inlineStr"/>
      <c r="K58" s="2" t="inlineStr">
        <is>
          <t>включён: None; свой процессинг: None; Klarna</t>
        </is>
      </c>
      <c r="L58" s="2" t="inlineStr"/>
      <c r="M58" s="2" t="inlineStr"/>
      <c r="N58" s="2" t="inlineStr"/>
      <c r="O58" s="2" t="inlineStr"/>
      <c r="P58" s="2" t="inlineStr"/>
      <c r="Q58" s="2" t="inlineStr"/>
      <c r="R58" s="2" t="inlineStr">
        <is>
          <t>• pricing and organizer terms pages returned 404 / not found; public fee table not located</t>
        </is>
      </c>
      <c r="S58" s="2" t="inlineStr"/>
      <c r="T58" s="2" t="inlineStr"/>
      <c r="U58" s="2" t="inlineStr">
        <is>
          <t>Nordic (Norway, Denmark, Sweden, Germany) self-serve ticketing; Klarna payments</t>
        </is>
      </c>
      <c r="V58" s="2" t="inlineStr">
        <is>
          <t>page</t>
        </is>
      </c>
      <c r="W58" s="2" t="inlineStr">
        <is>
          <t>https://www.tikkio.com/en (home page (regions NO/DK/SE/DE/global, languages incl. FR))</t>
        </is>
      </c>
    </row>
    <row r="59">
      <c r="A59" s="2" t="inlineStr">
        <is>
          <t>Сев.-Зап. Европа и Швейцария</t>
        </is>
      </c>
      <c r="B59" s="22" t="inlineStr">
        <is>
          <t>Eventfrog</t>
        </is>
      </c>
      <c r="C59" s="2" t="inlineStr">
        <is>
          <t>https://eventfrog.ch</t>
        </is>
      </c>
      <c r="D59" s="2" t="inlineStr">
        <is>
          <t>Switzerland</t>
        </is>
      </c>
      <c r="E59" s="2" t="inlineStr">
        <is>
          <t>CHF</t>
        </is>
      </c>
      <c r="F59" s="2" t="inlineStr">
        <is>
          <t>собирает на себя</t>
        </is>
      </c>
      <c r="G59" s="2" t="inlineStr">
        <is>
          <t>online payments via Eventfrog; Free and Plus: payout after event end; Pro: payouts any time; transaction cost for online payments in Free model is charged separately (see notes)</t>
        </is>
      </c>
      <c r="H59" s="2" t="inlineStr">
        <is>
          <t>mixed</t>
        </is>
      </c>
      <c r="I59" s="2" t="inlineStr">
        <is>
          <t>• Free: 0% +0 — all key functions: listing, online ticket sales, seat plan creation, free Entry app, ads-free tickets, online payments via Eventfrog, payout after event — CHF 0.00 model fee; the page also states 'Zahlungen ueber Eventfrog Cashless CHF 0.09 + 1.5% pro Transaktion zzgl. MwSt' - AT sister page states Free model online payments cost EUR 0.19 + 1.9%, so CH Free very likely pays CHF 0.09 + 1.5% per transaction
• Plus: 2.4% +0.49 — extended features, online payments included, payout after event — CHF 0.49 + 2.4% per sold ticket; applied automatically when ticket price above CHF 50
• Pro: 3.6% +0.49 — all features, online payments included, fees pass-through to buyer, freely designed tickets, payouts at any time, premium visibility — CHF 0.49 + 3.6% per sold ticket</t>
        </is>
      </c>
      <c r="J59" s="2" t="inlineStr"/>
      <c r="K59" s="2" t="inlineStr">
        <is>
          <t>включён: True; свой процессинг: None; Eventfrog payments; Plus/Pro include online payments; Free model: transaction fee as above; доп. сбор: Free model: CHF 0.09 + 1.5% per transaction (as stated, excl VAT)</t>
        </is>
      </c>
      <c r="L59" s="2" t="inlineStr">
        <is>
          <t>organizer; Pro lets fees be passed on to buyers (calculator toggle 'Servicekosten an Ticketkaeufer uebertragen')</t>
        </is>
      </c>
      <c r="M59" s="2" t="inlineStr">
        <is>
          <t>free events and free tickets: no cost in Free model</t>
        </is>
      </c>
      <c r="N59" s="2" t="inlineStr">
        <is>
          <t>seat plan creation free</t>
        </is>
      </c>
      <c r="O59" s="2" t="inlineStr">
        <is>
          <t>after event end (Free/Plus); any time (Pro)</t>
        </is>
      </c>
      <c r="P59" s="2" t="inlineStr">
        <is>
          <t>single-ticket cancellation CHF 0.99 + 3.9% per ticket excl VAT; full event refund CHF 50 + CHF 0.99 + 3.9% per ticket excl VAT; only incurred when an online transaction took place; previously accrued model fees are dropped</t>
        </is>
      </c>
      <c r="Q59" s="2" t="inlineStr">
        <is>
          <t>prices excl. VAT (MwSt)</t>
        </is>
      </c>
      <c r="R59" s="2" t="inlineStr">
        <is>
          <t>• all prices per sold ticket in CHF excl. VAT
• 'Eventfrog Marktplatz' promotions CHF 24.90 per event for extra reach
• events always created in Free model; change to Plus/Pro only with consent</t>
        </is>
      </c>
      <c r="S59" s="2" t="inlineStr">
        <is>
          <t>• {"name": "Marketplace promotion", "price": "CHF 24.90 per event"}</t>
        </is>
      </c>
      <c r="T59" s="2" t="inlineStr">
        <is>
          <t>on request</t>
        </is>
      </c>
      <c r="U59" s="2" t="inlineStr">
        <is>
          <t>Swiss/Austrian/German event agenda with ticketing; freemium for clubs, small events; free listing + optional Plus/Pro models</t>
        </is>
      </c>
      <c r="V59" s="2" t="inlineStr">
        <is>
          <t>page</t>
        </is>
      </c>
      <c r="W59" s="2" t="inlineStr">
        <is>
          <t>https://eventfrog.ch/de/veranstalten/preise-funktionen.html (Swiss pricing page)</t>
        </is>
      </c>
    </row>
    <row r="60">
      <c r="A60" s="2" t="inlineStr">
        <is>
          <t>Сев.-Зап. Европа и Швейцария</t>
        </is>
      </c>
      <c r="B60" s="22" t="inlineStr">
        <is>
          <t>Eventfrog</t>
        </is>
      </c>
      <c r="C60" s="2" t="inlineStr">
        <is>
          <t>https://eventfrog.ch</t>
        </is>
      </c>
      <c r="D60" s="2" t="inlineStr">
        <is>
          <t>Austria</t>
        </is>
      </c>
      <c r="E60" s="2" t="inlineStr">
        <is>
          <t>EUR</t>
        </is>
      </c>
      <c r="F60" s="2" t="inlineStr">
        <is>
          <t>собирает на себя</t>
        </is>
      </c>
      <c r="G60" s="2" t="inlineStr">
        <is>
          <t>as in CH</t>
        </is>
      </c>
      <c r="H60" s="2" t="inlineStr">
        <is>
          <t>mixed</t>
        </is>
      </c>
      <c r="I60" s="2" t="inlineStr">
        <is>
          <t>• Free: 1.9% +0.19 — same as CH Free — model fee EUR 0 but online payments via Eventfrog cost EUR 0.19 + 1.9%
• Plus: 2.4% +0.49 — as CH Plus — applied automatically above EUR 50
• Pro: 2.9% +0.69 — as CH Pro — EUR 0.69 + 2.9%</t>
        </is>
      </c>
      <c r="J60" s="2" t="inlineStr"/>
      <c r="K60" s="2" t="inlineStr">
        <is>
          <t>включён: True; свой процессинг: None; see plans</t>
        </is>
      </c>
      <c r="L60" s="2" t="inlineStr">
        <is>
          <t>organizer; Pro can pass to buyer</t>
        </is>
      </c>
      <c r="M60" s="2" t="inlineStr">
        <is>
          <t>free</t>
        </is>
      </c>
      <c r="N60" s="2" t="inlineStr">
        <is>
          <t>free</t>
        </is>
      </c>
      <c r="O60" s="2" t="inlineStr">
        <is>
          <t>see CH</t>
        </is>
      </c>
      <c r="P60" s="2" t="inlineStr"/>
      <c r="Q60" s="2" t="inlineStr">
        <is>
          <t>excl. VAT</t>
        </is>
      </c>
      <c r="R60" s="2" t="inlineStr"/>
      <c r="S60" s="2" t="inlineStr"/>
      <c r="T60" s="2" t="inlineStr"/>
      <c r="U60" s="2" t="inlineStr">
        <is>
          <t>Swiss/Austrian/German event agenda with ticketing; freemium for clubs, small events; free listing + optional Plus/Pro models</t>
        </is>
      </c>
      <c r="V60" s="2" t="inlineStr">
        <is>
          <t>page</t>
        </is>
      </c>
      <c r="W60" s="2" t="inlineStr">
        <is>
          <t>https://eventfrog.at/de/veranstalten/preise-funktionen.html (Austrian pricing page)</t>
        </is>
      </c>
    </row>
    <row r="61">
      <c r="A61" s="2" t="inlineStr">
        <is>
          <t>Сев.-Зап. Европа и Швейцария</t>
        </is>
      </c>
      <c r="B61" s="22" t="inlineStr">
        <is>
          <t>Petzi (PETZI Tickets)</t>
        </is>
      </c>
      <c r="C61" s="2" t="inlineStr">
        <is>
          <t>https://www.petzi.ch</t>
        </is>
      </c>
      <c r="D61" s="2" t="inlineStr">
        <is>
          <t>Switzerland</t>
        </is>
      </c>
      <c r="E61" s="2" t="inlineStr">
        <is>
          <t>CHF</t>
        </is>
      </c>
      <c r="F61" s="2" t="inlineStr">
        <is>
          <t>собирает на себя</t>
        </is>
      </c>
      <c r="G61" s="2" t="inlineStr">
        <is>
          <t>PETZI runs ticket shop and agenda for members; revenue reinvested in the federation; settlement terms not published</t>
        </is>
      </c>
      <c r="H61" s="2" t="inlineStr">
        <is>
          <t>negotiated</t>
        </is>
      </c>
      <c r="I61" s="2" t="inlineStr">
        <is>
          <t>• Member ticketing:  — ticketing + event agenda for members (clubs, festivals) — fees 'kept as low as possible', transparent, no handling fee, no home-print fee, no insurance upsell; members do not pay for event cancellations or scanners; amounts not published</t>
        </is>
      </c>
      <c r="J61" s="2" t="inlineStr"/>
      <c r="K61" s="2" t="inlineStr">
        <is>
          <t>включён: None; свой процессинг: None</t>
        </is>
      </c>
      <c r="L61" s="2" t="inlineStr">
        <is>
          <t>buyer (ticket fees in price)</t>
        </is>
      </c>
      <c r="M61" s="2" t="inlineStr"/>
      <c r="N61" s="2" t="inlineStr"/>
      <c r="O61" s="2" t="inlineStr"/>
      <c r="P61" s="2" t="inlineStr">
        <is>
          <t>members pay nothing for cancelled events</t>
        </is>
      </c>
      <c r="Q61" s="2" t="inlineStr">
        <is>
          <t>VAT included directly in ticket prices</t>
        </is>
      </c>
      <c r="R61" s="2" t="inlineStr">
        <is>
          <t>• only PETZI members (club/festival federation); not open to general organizers
• no public fee figures</t>
        </is>
      </c>
      <c r="S61" s="2" t="inlineStr"/>
      <c r="T61" s="2" t="inlineStr"/>
      <c r="U61" s="2" t="inlineStr">
        <is>
          <t>non-profit ticketing for member clubs and festivals of the Swiss live-music federation PETZI; members only</t>
        </is>
      </c>
      <c r="V61" s="2" t="inlineStr">
        <is>
          <t>page</t>
        </is>
      </c>
      <c r="W61" s="2" t="inlineStr">
        <is>
          <t>https://www.petzi.ch/fr/a-propos-de-la-billetterie/ (about the ticketing service)</t>
        </is>
      </c>
    </row>
    <row r="62">
      <c r="A62" s="2" t="inlineStr">
        <is>
          <t>Сев.-Зап. Европа и Швейцария</t>
        </is>
      </c>
      <c r="B62" s="22" t="inlineStr">
        <is>
          <t>Ticketino</t>
        </is>
      </c>
      <c r="C62" s="2" t="inlineStr">
        <is>
          <t>https://organizer.ticketino.com</t>
        </is>
      </c>
      <c r="D62" s="2" t="inlineStr">
        <is>
          <t>Switzerland / EUR countries</t>
        </is>
      </c>
      <c r="E62" s="2" t="inlineStr">
        <is>
          <t>CHF / EUR (same numbers)</t>
        </is>
      </c>
      <c r="F62" s="2" t="inlineStr">
        <is>
          <t>собирает на себя</t>
        </is>
      </c>
      <c r="G62" s="2" t="inlineStr">
        <is>
          <t>Ticketino collects (buyer pays by card, Twint, SOFORT, Postfinance, PayPal, invoice) and settles to organizer; payout timing not captured here</t>
        </is>
      </c>
      <c r="H62" s="2" t="inlineStr">
        <is>
          <t>percent</t>
        </is>
      </c>
      <c r="I62" s="2" t="inlineStr">
        <is>
          <t>• All-inclusive advance-sale fee (tiered by ticket price): 7.9% for CHF/EUR 10.76-40.00; 6.9% for 40.01-80.00; 5.9% for 80.01-160.00; 4.9% for 160.01-500.00; 3.9% above 500.01% +0.85 — no setup fee, no minimum revenue, no transaction costs on most payment methods, free seat plan and free access control incl. hard/software — ticket price band CHF/EUR 0.00-10.75 -&gt; flat CHF/EUR 0.85 per ticket; fee excl. VAT; surcharge calculation ('Zuschlagskalkulation') lets the buyer carry the fee so organizer pays nothing</t>
        </is>
      </c>
      <c r="J62" s="2" t="inlineStr"/>
      <c r="K62" s="2" t="inlineStr">
        <is>
          <t>включён: True; свой процессинг: False; credit card, Twint, SOFORT, Postfinance, PayPal; Postfinance/PayPal add 2-4.9% for the buyer; card, Twint and SOFORT free for buyer on Print@Home</t>
        </is>
      </c>
      <c r="L62" s="2" t="inlineStr">
        <is>
          <t>configurable (calculator: organizer or buyer)</t>
        </is>
      </c>
      <c r="M62" s="2" t="inlineStr">
        <is>
          <t>free events: no fees; free tickets generated by organizer inside a paid event or tickets collected directly: CHF 0.85 / EUR 0.85 / USD 0.90 / GBP 0.75 per ticket</t>
        </is>
      </c>
      <c r="N62" s="2" t="inlineStr">
        <is>
          <t>seat plan creation free</t>
        </is>
      </c>
      <c r="O62" s="2" t="inlineStr"/>
      <c r="P62" s="2" t="inlineStr"/>
      <c r="Q62" s="2" t="inlineStr">
        <is>
          <t>prices excl. VAT (MWST) - the calculator shows VAT separately</t>
        </is>
      </c>
      <c r="R62" s="2" t="inlineStr">
        <is>
          <t>• buyer-side: invoice/postal delivery about EUR 4.80 / CHF 5.80 per order; physical presale outlets charge ~5-10% handling
• larger volumes: individual offer
• free seat plan and free scanning hardware/software</t>
        </is>
      </c>
      <c r="S62" s="2" t="inlineStr">
        <is>
          <t>• {"name": "White label", "price": "on request"}</t>
        </is>
      </c>
      <c r="T62" s="2" t="inlineStr">
        <is>
          <t>individual offers for larger volumes</t>
        </is>
      </c>
      <c r="U62" s="2" t="inlineStr">
        <is>
          <t>self-service ticketing for Swiss/DE/AT organizers of all sizes, White Label and own outlets; 'zero cost to organizer via surcharge model'</t>
        </is>
      </c>
      <c r="V62" s="2" t="inlineStr">
        <is>
          <t>page</t>
        </is>
      </c>
      <c r="W62" s="2" t="inlineStr">
        <is>
          <t>http://organizer.ticketino.com/de/preise (organizer pricing page (price bands, free tickets, buyer options))</t>
        </is>
      </c>
    </row>
    <row r="63">
      <c r="A63" s="2" t="inlineStr">
        <is>
          <t>Сев.-Зап. Европа и Швейцария</t>
        </is>
      </c>
      <c r="B63" s="22" t="inlineStr">
        <is>
          <t>Starticket (CH) / Ticketcorner self-service</t>
        </is>
      </c>
      <c r="C63" s="2" t="inlineStr">
        <is>
          <t>https://www.starticket.ch</t>
        </is>
      </c>
      <c r="D63" s="2" t="inlineStr">
        <is>
          <t>Switzerland</t>
        </is>
      </c>
      <c r="E63" s="2" t="inlineStr">
        <is>
          <t>CHF</t>
        </is>
      </c>
      <c r="F63" s="2" t="inlineStr">
        <is>
          <t>собирает на себя</t>
        </is>
      </c>
      <c r="G63" s="2" t="inlineStr">
        <is>
          <t>see Ticketcorner.Light entry under Eventim.Light</t>
        </is>
      </c>
      <c r="H63" s="2" t="inlineStr">
        <is>
          <t>percent_plus_fixed</t>
        </is>
      </c>
      <c r="I63" s="2" t="inlineStr">
        <is>
          <t>• Ticketcorner.Light: 4% +0.5 — see Eventim.Light entry — own shop CHF 0.50 + 4%; box office CHF 0.50; network CHF 0.50 + 12%</t>
        </is>
      </c>
      <c r="J63" s="2" t="inlineStr"/>
      <c r="K63" s="2" t="inlineStr">
        <is>
          <t>включён: True; свой процессинг: False</t>
        </is>
      </c>
      <c r="L63" s="2" t="inlineStr">
        <is>
          <t>configurable</t>
        </is>
      </c>
      <c r="M63" s="2" t="inlineStr"/>
      <c r="N63" s="2" t="inlineStr"/>
      <c r="O63" s="2" t="inlineStr">
        <is>
          <t>see Eventim.Light CH</t>
        </is>
      </c>
      <c r="P63" s="2" t="inlineStr"/>
      <c r="Q63" s="2" t="inlineStr">
        <is>
          <t>see Ticketcorner.Light</t>
        </is>
      </c>
      <c r="R63" s="2" t="inlineStr">
        <is>
          <t>• starticket.ch/de/veranstalter returned 404 and the site header is Ticketcorner-branded: separate Starticket organizer price list not found</t>
        </is>
      </c>
      <c r="S63" s="2" t="inlineStr"/>
      <c r="T63" s="2" t="inlineStr">
        <is>
          <t>B2B link on Ticketcorner site</t>
        </is>
      </c>
      <c r="U63" s="2" t="inlineStr">
        <is>
          <t>Starticket.ch is now operated under Ticketcorner AG (CTS Eventim); self-service for small organizers = Ticketcorner.Light</t>
        </is>
      </c>
      <c r="V63" s="2" t="inlineStr">
        <is>
          <t>page</t>
        </is>
      </c>
      <c r="W63" s="2" t="inlineStr">
        <is>
          <t>https://www.starticket.ch/de/veranstalter (404 page with Ticketcorner branding)
https://www.ticketcorner-light.ch/preise/ (Ticketcorner.Light pricing)</t>
        </is>
      </c>
    </row>
    <row r="64">
      <c r="A64" s="2" t="inlineStr">
        <is>
          <t>Южная Европа</t>
        </is>
      </c>
      <c r="B64" s="22" t="inlineStr">
        <is>
          <t>Entradium</t>
        </is>
      </c>
      <c r="C64" s="2" t="inlineStr">
        <is>
          <t>https://www.entradium.com</t>
        </is>
      </c>
      <c r="D64" s="2" t="inlineStr">
        <is>
          <t>Spain</t>
        </is>
      </c>
      <c r="E64" s="2" t="inlineStr">
        <is>
          <t>EUR</t>
        </is>
      </c>
      <c r="F64" s="2" t="inlineStr">
        <is>
          <t>собирает на себя</t>
        </is>
      </c>
      <c r="G64" s="2" t="inlineStr">
        <is>
          <t>Entradium collects the buyer's money and pays the organiser: organiser requests payment in a billing area and is paid every Tuesday for events already held; early payout before the event only by prior arrangement (ask before creating the event). Platform fee is netted from the proceeds / added to buyer price (buyer sees 'gastos de gestion').</t>
        </is>
      </c>
      <c r="H64" s="2" t="inlineStr">
        <is>
          <t>percent</t>
        </is>
      </c>
      <c r="I64" s="2" t="inlineStr">
        <is>
          <t>• Basico: 1.0% — Self-managed admin panel, unlimited events and ticket types, access-control app, email support Mon-Fri, sales stats, presence on entradium + partner network
• Profesional: 2.0% — Everything in Basico + tracking pixels/analytics, PR/sales-agent tool, email support 7 days, hard-ticket generation, automatic multi-session generation, access-control equipment availability, promoter app
• Premium: 2.5% — Everything in Profesional + venue digitisation and numbered seating, priority support + personal manager, phone support 7 days, sell from your own website, partner tool, virtual queue, box-office sales equipment, cashless — Third-party (Soundtix comparison, snippet) reads Entradium as ~3% incl. IVA = 2.5% x 1.21 - consistent</t>
        </is>
      </c>
      <c r="J64" s="2" t="inlineStr"/>
      <c r="K64" s="2" t="inlineStr">
        <is>
          <t>включён: True; свой процессинг: None; Card processing is inside the platform fee (organiser connects nothing). Page does not name the processor.</t>
        </is>
      </c>
      <c r="L64" s="2" t="inlineStr">
        <is>
          <t>buyer (page: 'tu comprador paga menos'; buyer terms: 2% + IVA management fee to buyer)</t>
        </is>
      </c>
      <c r="M64" s="2" t="inlineStr">
        <is>
          <t>Free events are possible (events with 0.00 EUR listed). Charity events ('entradium solidario'): Entradium assumes the management fees - organiser and buyer pay nothing.</t>
        </is>
      </c>
      <c r="N64" s="2" t="inlineStr">
        <is>
          <t>Numbered seating on Premium; the venue seat map is drawn by Entradium free of charge. Physical box-office system with computer + printer provided.</t>
        </is>
      </c>
      <c r="O64" s="2" t="inlineStr">
        <is>
          <t>Every Tuesday for the events already held and requested in the billing area; advance payout only by prior agreement.</t>
        </is>
      </c>
      <c r="P64" s="2" t="inlineStr">
        <is>
          <t>Buyer support (name changes, refunds) handled by Entradium on behalf of the organiser. Refund of management fee not stated on the pages read.</t>
        </is>
      </c>
      <c r="Q64" s="2" t="inlineStr">
        <is>
          <t>Plan percentages are stated WITHOUT IVA ('Los precios no incluyen IVA') and are applied to the ticket price. Buyer-side management fee is stated as 2% of the ticket total + IVA in the buyer terms.</t>
        </is>
      </c>
      <c r="R64" s="2" t="inlineStr">
        <is>
          <t>• Rental of access-control equipment, hard-ticket generation, cashless and virtual queue are quoted per case (no public price)
• Page headline says 'desde 1% + iva*' - the asterisk points to the plan table
• Buyer-fee wording (2%) in the terms differs from the 1/2/2.5% plan percentages - the buyer fee and the organiser plan fee may be the same charge or two charges; the pages do not reconcile them</t>
        </is>
      </c>
      <c r="S64" s="2" t="inlineStr">
        <is>
          <t>• {"name": "Handheld scanner (PDA) loan", "price": "not public"}
• {"name": "Hard tickets", "price": "per quote"}
• {"name": "Cashless", "price": "per quote"}</t>
        </is>
      </c>
      <c r="T64" s="2" t="inlineStr"/>
      <c r="U64" s="2" t="inlineStr">
        <is>
          <t>Spanish self-serve ticketing for small theatres, venues, associations, tour/leisure; legal entity crocantickets SL (Madrid)</t>
        </is>
      </c>
      <c r="V64" s="2" t="inlineStr">
        <is>
          <t>page</t>
        </is>
      </c>
      <c r="W64" s="2" t="inlineStr">
        <is>
          <t>https://core.entradium.com/promoter_info (organiser pricing page: plans Basico 1% / Profesional 2% / Premium 2.5%, payout every Tuesday)
https://www.entradium.com/es/legal (buyer terms section 3: management fee 2% of ticket total + IVA charged to buyer)
https://soundtix.com/blog/comparativa-ticketeras-espana-2026 (third-party comparison: ~3% incl. IVA, post-event settlement, extras cost money (competitor source, treat with care))</t>
        </is>
      </c>
    </row>
    <row r="65">
      <c r="A65" s="2" t="inlineStr">
        <is>
          <t>Южная Европа</t>
        </is>
      </c>
      <c r="B65" s="22" t="inlineStr">
        <is>
          <t>Giglon</t>
        </is>
      </c>
      <c r="C65" s="2" t="inlineStr">
        <is>
          <t>https://www.giglon.com</t>
        </is>
      </c>
      <c r="D65" s="2" t="inlineStr">
        <is>
          <t>Spain</t>
        </is>
      </c>
      <c r="E65" s="2" t="inlineStr">
        <is>
          <t>EUR</t>
        </is>
      </c>
      <c r="F65" s="2" t="inlineStr">
        <is>
          <t>не выяснено</t>
        </is>
      </c>
      <c r="G65" s="2" t="inlineStr">
        <is>
          <t>Not stated. FAQ says refunds for cancelled events apply 'only to payments managed and notified by Giglon' (so some channels are not Giglon-collected); payment via TPV/Bizum; automated invoicing in the private area. Cannot classify without a quote.</t>
        </is>
      </c>
      <c r="H65" s="2" t="inlineStr">
        <is>
          <t>negotiated</t>
        </is>
      </c>
      <c r="I65" s="2" t="inlineStr"/>
      <c r="J65" s="2" t="inlineStr"/>
      <c r="K65" s="2" t="inlineStr">
        <is>
          <t>включён: None; свой процессинг: None; TPV (card), Bizum; not stated</t>
        </is>
      </c>
      <c r="L65" s="2" t="inlineStr"/>
      <c r="M65" s="2" t="inlineStr"/>
      <c r="N65" s="2" t="inlineStr"/>
      <c r="O65" s="2" t="inlineStr"/>
      <c r="P65" s="2" t="inlineStr"/>
      <c r="Q65" s="2" t="inlineStr"/>
      <c r="R65" s="2" t="inlineStr">
        <is>
          <t>• No public commission anywhere on giglon.com (terms page has no fee clause)</t>
        </is>
      </c>
      <c r="S65" s="2" t="inlineStr"/>
      <c r="T65" s="2" t="inlineStr">
        <is>
          <t>Contact sales - no public price. A practicalteam.com portfolio snippet mentions a 'comision reducida' without a number (snippet).</t>
        </is>
      </c>
      <c r="U65" s="2" t="inlineStr">
        <is>
          <t>Spanish cloud ticketing for venues, promoters, town halls, tourist sites; has own marketplace and microsites; ENS certified</t>
        </is>
      </c>
      <c r="V65" s="2" t="inlineStr">
        <is>
          <t>page</t>
        </is>
      </c>
      <c r="W65" s="2" t="inlineStr">
        <is>
          <t>https://www.giglon.com/servicios (services: online sale, box office, widget, seat selection, microsites, ticket design, app validation; no prices)
https://www.giglon.com/vende ('contact now' - no pricing; cloud box office, thermal printing, card reader, Bizum)
https://www.giglon.com/faq (FAQ: refund for cancelled events only for payments managed by Giglon)
https://nevent.ai/es/plataformas-venta-entradas/giglon/ (third-party directory: 'comisiones y precios no publicados online')</t>
        </is>
      </c>
    </row>
    <row r="66">
      <c r="A66" s="2" t="inlineStr">
        <is>
          <t>Южная Европа</t>
        </is>
      </c>
      <c r="B66" s="22" t="inlineStr">
        <is>
          <t>Wegow</t>
        </is>
      </c>
      <c r="C66" s="2" t="inlineStr">
        <is>
          <t>https://www.wegow.com/es</t>
        </is>
      </c>
      <c r="D66" s="2" t="inlineStr">
        <is>
          <t>Spain</t>
        </is>
      </c>
      <c r="E66" s="2" t="inlineStr">
        <is>
          <t>EUR</t>
        </is>
      </c>
      <c r="F66" s="2" t="inlineStr">
        <is>
          <t>собирает на себя</t>
        </is>
      </c>
      <c r="G66" s="2" t="inlineStr">
        <is>
          <t>Wegow collected ticket money and was meant to pay promoters later; in May 2025 it entered 'preconcurso de acreedores' and left unpaid amounts of EUR 3,000 to 200,000+ per project (promoters/artists) - the textbook case of the collecting-model risk. (Source is a competitor's article plus RNE/ABC headlines in search snippets.)</t>
        </is>
      </c>
      <c r="H66" s="2" t="inlineStr">
        <is>
          <t>negotiated</t>
        </is>
      </c>
      <c r="I66" s="2" t="inlineStr"/>
      <c r="J66" s="2" t="inlineStr"/>
      <c r="K66" s="2" t="inlineStr"/>
      <c r="L66" s="2" t="inlineStr"/>
      <c r="M66" s="2" t="inlineStr"/>
      <c r="N66" s="2" t="inlineStr"/>
      <c r="O66" s="2" t="inlineStr"/>
      <c r="P66" s="2" t="inlineStr"/>
      <c r="Q66" s="2" t="inlineStr"/>
      <c r="R66" s="2" t="inlineStr">
        <is>
          <t>• No public promoter fee schedule. Registration page not readable without an account.
• Current legal status in Oct 2026 could not be confirmed</t>
        </is>
      </c>
      <c r="S66" s="2" t="inlineStr"/>
      <c r="T66" s="2" t="inlineStr">
        <is>
          <t>Not public</t>
        </is>
      </c>
      <c r="U66" s="2" t="inlineStr">
        <is>
          <t>Spanish live-music marketplace/'social ticketing' for promoters and artists (also Bracelit cashless)</t>
        </is>
      </c>
      <c r="V66" s="2" t="inlineStr">
        <is>
          <t>snippet</t>
        </is>
      </c>
      <c r="W66" s="2" t="inlineStr">
        <is>
          <t>https://vivetix.com/b/wegow-que-ha-pasado-alternativas-seguras-reclamar (article (competitor Vivetix) on the preconcurso, May 2025; amounts unpaid)
https://www.abc.es/cultura/musica/wegow-asegura-pagara-dinero-venta-entradas-debe-20250925102408-nt.html (ABC 2025-09-26 headline: Wegow says it will pay all money owed (search snippet only))
https://www.wegow.com/es (promoter registration at /es/registrarse-promotor; no fees on the public page)</t>
        </is>
      </c>
    </row>
    <row r="67">
      <c r="A67" s="2" t="inlineStr">
        <is>
          <t>Южная Европа</t>
        </is>
      </c>
      <c r="B67" s="22" t="inlineStr">
        <is>
          <t>Taquilla.com</t>
        </is>
      </c>
      <c r="C67" s="2" t="inlineStr">
        <is>
          <t>https://www.taquilla.com</t>
        </is>
      </c>
      <c r="D67" s="2" t="inlineStr">
        <is>
          <t>Spain</t>
        </is>
      </c>
      <c r="E67" s="2" t="inlineStr">
        <is>
          <t>EUR</t>
        </is>
      </c>
      <c r="F67" s="2" t="inlineStr">
        <is>
          <t>не выяснено</t>
        </is>
      </c>
      <c r="G67" s="2" t="inlineStr">
        <is>
          <t>Aggregator/affiliate, no organiser fee schedule exists.</t>
        </is>
      </c>
      <c r="H67" s="2" t="inlineStr">
        <is>
          <t>negotiated</t>
        </is>
      </c>
      <c r="I67" s="2" t="inlineStr"/>
      <c r="J67" s="2" t="inlineStr"/>
      <c r="K67" s="2" t="inlineStr"/>
      <c r="L67" s="2" t="inlineStr"/>
      <c r="M67" s="2" t="inlineStr"/>
      <c r="N67" s="2" t="inlineStr"/>
      <c r="O67" s="2" t="inlineStr"/>
      <c r="P67" s="2" t="inlineStr"/>
      <c r="Q67" s="2" t="inlineStr"/>
      <c r="R67" s="2" t="inlineStr"/>
      <c r="S67" s="2" t="inlineStr"/>
      <c r="T67" s="2" t="inlineStr">
        <is>
          <t>n/a</t>
        </is>
      </c>
      <c r="U67" s="2" t="inlineStr">
        <is>
          <t>Not a ticket seller for organisers: a price-COMPARISON site that lists tickets from 40+ ticket pages ('COMPARAMOS precios')</t>
        </is>
      </c>
      <c r="V67" s="2" t="inlineStr">
        <is>
          <t>page</t>
        </is>
      </c>
      <c r="W67" s="2" t="inlineStr">
        <is>
          <t>https://www.taquilla.com/themes/tcom-2.0/about.php?lang=es (about page: compares prices on 40+ sales pages, 5,000 active shows)</t>
        </is>
      </c>
    </row>
    <row r="68">
      <c r="A68" s="2" t="inlineStr">
        <is>
          <t>Южная Европа</t>
        </is>
      </c>
      <c r="B68" s="22" t="inlineStr">
        <is>
          <t>EVENTIM.Light (self-service of Eventim; marketplace entradas.com)</t>
        </is>
      </c>
      <c r="C68" s="2" t="inlineStr">
        <is>
          <t>https://www.eventim-light.es</t>
        </is>
      </c>
      <c r="D68" s="2" t="inlineStr">
        <is>
          <t>Spain</t>
        </is>
      </c>
      <c r="E68" s="2" t="inlineStr">
        <is>
          <t>EUR</t>
        </is>
      </c>
      <c r="F68" s="2" t="inlineStr">
        <is>
          <t>собирает на себя</t>
        </is>
      </c>
      <c r="G68" s="2" t="inlineStr">
        <is>
          <t>Eventim collects the sales and settles within 5 working days after the organiser marks the event 'Finished'; cancelled/postponed events are settled only after buyers' refund claims are resolved.</t>
        </is>
      </c>
      <c r="H68" s="2" t="inlineStr">
        <is>
          <t>percent_plus_fixed</t>
        </is>
      </c>
      <c r="I68" s="2" t="inlineStr">
        <is>
          <t>• Own ticket shop / box office: 3.5% +0.4 — Ticket shop in own design, seating plans, box office sales, free scan app, reports, promotions, season tickets, Facebook events. No contract, no fixed costs. — Fee is on top of the base ('precio de venta al publico') price; organiser chooses to pay it or pass to buyers
• Sold through entradas.com marketplace: 9.5% +0.4 — Same as above plus listing on entradas.com for national reach — 3.5% + 0.40 EUR plus an additional 6% on the retail price (so 9.5% + 0.40 EUR in total). Buyers on the Eventim network may pay further booking fees and shipping.</t>
        </is>
      </c>
      <c r="J68" s="2" t="inlineStr"/>
      <c r="K68" s="2" t="inlineStr">
        <is>
          <t>включён: True; свой процессинг: None; payment fees and tax included in the ticket fee</t>
        </is>
      </c>
      <c r="L68" s="2" t="inlineStr">
        <is>
          <t>configurable (organiser pays or passes the fee on to the buyer)</t>
        </is>
      </c>
      <c r="M68" s="2" t="inlineStr"/>
      <c r="N68" s="2" t="inlineStr"/>
      <c r="O68" s="2" t="inlineStr">
        <is>
          <t>Within 5 working days after the event is set to 'Finished' (bank details in profile).</t>
        </is>
      </c>
      <c r="P68" s="2" t="inlineStr">
        <is>
          <t>On cancellation the buyer is refunded the base price only; page warns that 'ticket-related fees and sales commissions may apply if an event is cancelled'.</t>
        </is>
      </c>
      <c r="Q68" s="2" t="inlineStr">
        <is>
          <t>Spanish page: 'payment gateway and taxes already included in the sales price' - fees are shown all-in (tax included).</t>
        </is>
      </c>
      <c r="R68" s="2" t="inlineStr">
        <is>
          <t>• No contract and no fixed costs
• An organiser must confirm the event as completed to start settlement</t>
        </is>
      </c>
      <c r="S68" s="2" t="inlineStr">
        <is>
          <t>• {"name": "Box office sales", "price": "included"}
• {"name": "Scan app", "price": "free"}</t>
        </is>
      </c>
      <c r="T68" s="2" t="inlineStr"/>
      <c r="U68" s="2" t="inlineStr">
        <is>
          <t>Self-serve ticketing from CTS Eventim: own ticket shop, box office, seating plans; optional listing on entradas.com marketplace</t>
        </is>
      </c>
      <c r="V68" s="2" t="inlineStr">
        <is>
          <t>page</t>
        </is>
      </c>
      <c r="W68" s="2" t="inlineStr">
        <is>
          <t>https://www.eventim-light.es/precios/ (Spanish pricing page)
https://www.eventim-light.es/en/pricing/ (English pricing page: fee 3.5% + 0.40; entradas.com +6%; payout 5 working days)
https://nevent.ai/es/plataformas-venta-entradas/eventim-light/ (third-party directory (snippet): Germany 3.5% + 0.49/0.99; Eventim network +10% - applies to DE page)</t>
        </is>
      </c>
    </row>
    <row r="69">
      <c r="A69" s="2" t="inlineStr">
        <is>
          <t>Южная Европа</t>
        </is>
      </c>
      <c r="B69" s="22" t="inlineStr">
        <is>
          <t>EVENTIM.Light (self-service of Eventim; marketplace entradas.com)</t>
        </is>
      </c>
      <c r="C69" s="2" t="inlineStr">
        <is>
          <t>https://www.eventim-light.es</t>
        </is>
      </c>
      <c r="D69" s="2" t="inlineStr">
        <is>
          <t>Germany (reference)</t>
        </is>
      </c>
      <c r="E69" s="2" t="inlineStr">
        <is>
          <t>EUR</t>
        </is>
      </c>
      <c r="F69" s="2" t="inlineStr">
        <is>
          <t>собирает на себя</t>
        </is>
      </c>
      <c r="G69" s="2" t="inlineStr">
        <is>
          <t>Same Eventim settlement model.</t>
        </is>
      </c>
      <c r="H69" s="2" t="inlineStr">
        <is>
          <t>percent_plus_fixed</t>
        </is>
      </c>
      <c r="I69" s="2" t="inlineStr">
        <is>
          <t>• DE standard: 3.5% +0.49 — 3.5% + 0.49 EUR for base price up to 6.99 EUR; 3.5% + 0.99 EUR from 7.00 EUR (from search snippets of eventim-light.de/en/pricing)</t>
        </is>
      </c>
      <c r="J69" s="2" t="inlineStr"/>
      <c r="K69" s="2" t="inlineStr"/>
      <c r="L69" s="2" t="inlineStr"/>
      <c r="M69" s="2" t="inlineStr"/>
      <c r="N69" s="2" t="inlineStr"/>
      <c r="O69" s="2" t="inlineStr"/>
      <c r="P69" s="2" t="inlineStr"/>
      <c r="Q69" s="2" t="inlineStr">
        <is>
          <t>tax included per page</t>
        </is>
      </c>
      <c r="R69" s="2" t="inlineStr"/>
      <c r="S69" s="2" t="inlineStr"/>
      <c r="T69" s="2" t="inlineStr"/>
      <c r="U69" s="2" t="inlineStr">
        <is>
          <t>Self-serve ticketing from CTS Eventim: own ticket shop, box office, seating plans; optional listing on entradas.com marketplace</t>
        </is>
      </c>
      <c r="V69" s="2" t="inlineStr">
        <is>
          <t>snippet</t>
        </is>
      </c>
      <c r="W69" s="2" t="inlineStr">
        <is>
          <t>https://www.eventim-light.de/en/pricing/ (search snippet only (not opened))</t>
        </is>
      </c>
    </row>
    <row r="70">
      <c r="A70" s="2" t="inlineStr">
        <is>
          <t>Южная Европа</t>
        </is>
      </c>
      <c r="B70" s="22" t="inlineStr">
        <is>
          <t>EVENTIM.Light (self-service of Eventim; marketplace entradas.com)</t>
        </is>
      </c>
      <c r="C70" s="2" t="inlineStr">
        <is>
          <t>https://www.eventim-light.es</t>
        </is>
      </c>
      <c r="D70" s="2" t="inlineStr">
        <is>
          <t>Netherlands (reference)</t>
        </is>
      </c>
      <c r="E70" s="2" t="inlineStr">
        <is>
          <t>EUR</t>
        </is>
      </c>
      <c r="F70" s="2" t="inlineStr">
        <is>
          <t>собирает на себя</t>
        </is>
      </c>
      <c r="G70" s="2" t="inlineStr"/>
      <c r="H70" s="2" t="inlineStr">
        <is>
          <t>percent_plus_fixed</t>
        </is>
      </c>
      <c r="I70" s="2" t="inlineStr">
        <is>
          <t>• NL standard: 2.0% +0.49 — EUR 0.49 + 2% up to base 15.99; from 16.00 the fixed part is EUR 0.99 (search snippet of eventim-light.nl/en/pricing)</t>
        </is>
      </c>
      <c r="J70" s="2" t="inlineStr"/>
      <c r="K70" s="2" t="inlineStr"/>
      <c r="L70" s="2" t="inlineStr"/>
      <c r="M70" s="2" t="inlineStr"/>
      <c r="N70" s="2" t="inlineStr"/>
      <c r="O70" s="2" t="inlineStr"/>
      <c r="P70" s="2" t="inlineStr"/>
      <c r="Q70" s="2" t="inlineStr"/>
      <c r="R70" s="2" t="inlineStr"/>
      <c r="S70" s="2" t="inlineStr"/>
      <c r="T70" s="2" t="inlineStr"/>
      <c r="U70" s="2" t="inlineStr">
        <is>
          <t>Self-serve ticketing from CTS Eventim: own ticket shop, box office, seating plans; optional listing on entradas.com marketplace</t>
        </is>
      </c>
      <c r="V70" s="2" t="inlineStr">
        <is>
          <t>snippet</t>
        </is>
      </c>
      <c r="W70" s="2" t="inlineStr">
        <is>
          <t>https://www.eventim-light.nl/en/pricing/ (search snippet only)</t>
        </is>
      </c>
    </row>
    <row r="71">
      <c r="A71" s="2" t="inlineStr">
        <is>
          <t>Южная Европа</t>
        </is>
      </c>
      <c r="B71" s="22" t="inlineStr">
        <is>
          <t>Ticketea</t>
        </is>
      </c>
      <c r="C71" s="2" t="inlineStr">
        <is>
          <t>https://www.ticketea.com</t>
        </is>
      </c>
      <c r="D71" s="2" t="inlineStr">
        <is>
          <t>Spain</t>
        </is>
      </c>
      <c r="E71" s="2" t="inlineStr">
        <is>
          <t>EUR</t>
        </is>
      </c>
      <c r="F71" s="2" t="inlineStr">
        <is>
          <t>не выяснено</t>
        </is>
      </c>
      <c r="G71" s="2" t="inlineStr">
        <is>
          <t>Not applicable: ticketea.com shows 'Ahora somos Eventbrite' - absorbed into Eventbrite in April 2018. Eventbrite ES is covered by another collector.</t>
        </is>
      </c>
      <c r="H71" s="2" t="inlineStr">
        <is>
          <t>negotiated</t>
        </is>
      </c>
      <c r="I71" s="2" t="inlineStr"/>
      <c r="J71" s="2" t="inlineStr"/>
      <c r="K71" s="2" t="inlineStr"/>
      <c r="L71" s="2" t="inlineStr"/>
      <c r="M71" s="2" t="inlineStr"/>
      <c r="N71" s="2" t="inlineStr"/>
      <c r="O71" s="2" t="inlineStr"/>
      <c r="P71" s="2" t="inlineStr"/>
      <c r="Q71" s="2" t="inlineStr"/>
      <c r="R71" s="2" t="inlineStr"/>
      <c r="S71" s="2" t="inlineStr"/>
      <c r="T71" s="2" t="inlineStr"/>
      <c r="U71" s="2" t="inlineStr">
        <is>
          <t>Former Spanish ticketing platform</t>
        </is>
      </c>
      <c r="V71" s="2" t="inlineStr">
        <is>
          <t>page</t>
        </is>
      </c>
      <c r="W71" s="2" t="inlineStr">
        <is>
          <t>https://www.ticketea.com (banner: part of Eventbrite since April 2018)</t>
        </is>
      </c>
    </row>
    <row r="72">
      <c r="A72" s="2" t="inlineStr">
        <is>
          <t>Южная Европа</t>
        </is>
      </c>
      <c r="B72" s="22" t="inlineStr">
        <is>
          <t>Atrapalo (Espectaculos / Atrapalo Ticketing)</t>
        </is>
      </c>
      <c r="C72" s="2" t="inlineStr">
        <is>
          <t>https://www.atrapalo.com</t>
        </is>
      </c>
      <c r="D72" s="2" t="inlineStr">
        <is>
          <t>Spain</t>
        </is>
      </c>
      <c r="E72" s="2" t="inlineStr">
        <is>
          <t>EUR</t>
        </is>
      </c>
      <c r="F72" s="2" t="inlineStr">
        <is>
          <t>собирает на себя</t>
        </is>
      </c>
      <c r="G72" s="2" t="inlineStr">
        <is>
          <t>Inferred: Atrapalo's own terms say it is an information/distribution intermediary and sells through its checkout; organisers apply through a form and the sales team contacts them. No public fee schedule.</t>
        </is>
      </c>
      <c r="H72" s="2" t="inlineStr">
        <is>
          <t>negotiated</t>
        </is>
      </c>
      <c r="I72" s="2" t="inlineStr"/>
      <c r="J72" s="2" t="inlineStr"/>
      <c r="K72" s="2" t="inlineStr"/>
      <c r="L72" s="2" t="inlineStr"/>
      <c r="M72" s="2" t="inlineStr"/>
      <c r="N72" s="2" t="inlineStr"/>
      <c r="O72" s="2" t="inlineStr"/>
      <c r="P72" s="2" t="inlineStr"/>
      <c r="Q72" s="2" t="inlineStr"/>
      <c r="R72" s="2" t="inlineStr"/>
      <c r="S72" s="2" t="inlineStr"/>
      <c r="T72" s="2" t="inlineStr">
        <is>
          <t>Contact sales; the 8%-25% range comes only from a marketing-agency blog (weak source, mark as third_party)</t>
        </is>
      </c>
      <c r="U72" s="2" t="inlineStr">
        <is>
          <t>Large Spanish leisure/travel marketplace that also sells show tickets for theatres and promoters; organiser tools (access control, box office, seat map, promo codes)</t>
        </is>
      </c>
      <c r="V72" s="2" t="inlineStr">
        <is>
          <t>third_party</t>
        </is>
      </c>
      <c r="W72" s="2" t="inlineStr">
        <is>
          <t>https://www.comunicare.es/anunciarse-en-atrapalo/ (agency blog (third party): organiser fills a form, sales team follows up; claims Atrapalo takes 8%-25% commission per transaction)
https://soporte.atrapalo.com/support/solutions/articles/6000054778-condiciones-generales-de-entradas (search snippet: Atrapalo performs an information activity, never event organisation)
https://play.google.com/store/apps/details?id=com.atrapalo.espectaculos.ticketing&amp;hl=es_EC (search snippet: Atrapalo Ticketing app for attendee lists and QR validation)</t>
        </is>
      </c>
    </row>
    <row r="73">
      <c r="A73" s="2" t="inlineStr">
        <is>
          <t>Южная Европа</t>
        </is>
      </c>
      <c r="B73" s="22" t="inlineStr">
        <is>
          <t>Enterticket</t>
        </is>
      </c>
      <c r="C73" s="2" t="inlineStr">
        <is>
          <t>https://www.enterticket.es</t>
        </is>
      </c>
      <c r="D73" s="2" t="inlineStr">
        <is>
          <t>Spain</t>
        </is>
      </c>
      <c r="E73" s="2" t="inlineStr">
        <is>
          <t>EUR</t>
        </is>
      </c>
      <c r="F73" s="2" t="inlineStr">
        <is>
          <t>не выяснено</t>
        </is>
      </c>
      <c r="G73" s="2" t="inlineStr">
        <is>
          <t>Site unreadable; fee negotiated per promoter according to third-party comparison. Enterticket's answers to buyer complaints (OCU) say the PROMOTER sets the management-fee policy and Enterticket only manages the tickets.</t>
        </is>
      </c>
      <c r="H73" s="2" t="inlineStr">
        <is>
          <t>negotiated</t>
        </is>
      </c>
      <c r="I73" s="2" t="inlineStr"/>
      <c r="J73" s="2" t="inlineStr"/>
      <c r="K73" s="2" t="inlineStr"/>
      <c r="L73" s="2" t="inlineStr"/>
      <c r="M73" s="2" t="inlineStr"/>
      <c r="N73" s="2" t="inlineStr"/>
      <c r="O73" s="2" t="inlineStr"/>
      <c r="P73" s="2" t="inlineStr"/>
      <c r="Q73" s="2" t="inlineStr"/>
      <c r="R73" s="2" t="inlineStr"/>
      <c r="S73" s="2" t="inlineStr"/>
      <c r="T73" s="2" t="inlineStr">
        <is>
          <t>Negotiated; 10%-12.5% is a third-party estimate, no official number</t>
        </is>
      </c>
      <c r="U73" s="2" t="inlineStr">
        <is>
          <t>Spanish ticketing for promoters of concerts, shows, festivals (site did not render for the scraper)</t>
        </is>
      </c>
      <c r="V73" s="2" t="inlineStr">
        <is>
          <t>third_party</t>
        </is>
      </c>
      <c r="W73" s="2" t="inlineStr">
        <is>
          <t>https://buscatusitio.com/comisiones-ticketing (third-party calculator: 'tarifa negociable segun volumen', 10%-12.5% (= 4-5 EUR on a 40 EUR ticket))
https://soundtix.com/blog/comparativa-ticketeras-espana-2026 (competitor article, not about Enterticket specifically; OCU complaint snippets mention 7.50 EUR management fee per ticket)</t>
        </is>
      </c>
    </row>
    <row r="74">
      <c r="A74" s="2" t="inlineStr">
        <is>
          <t>Южная Европа</t>
        </is>
      </c>
      <c r="B74" s="22" t="inlineStr">
        <is>
          <t>Bacantix</t>
        </is>
      </c>
      <c r="C74" s="2" t="inlineStr">
        <is>
          <t>https://www.bacantix.com</t>
        </is>
      </c>
      <c r="D74" s="2" t="inlineStr">
        <is>
          <t>Spain</t>
        </is>
      </c>
      <c r="E74" s="2" t="inlineStr">
        <is>
          <t>EUR</t>
        </is>
      </c>
      <c r="F74" s="2" t="inlineStr">
        <is>
          <t>собирает на себя</t>
        </is>
      </c>
      <c r="G74" s="2" t="inlineStr">
        <is>
          <t>FAQ: Bacantix acts as 'distribuidor e intermediario' between buyers and promoters and takes card payments through the Redsys gateway (3-D Secure; Visa/Mastercard/Maestro), so it collects. Promoter terms are behind a login ('Area promotores').</t>
        </is>
      </c>
      <c r="H74" s="2" t="inlineStr">
        <is>
          <t>negotiated</t>
        </is>
      </c>
      <c r="I74" s="2" t="inlineStr"/>
      <c r="J74" s="2" t="inlineStr"/>
      <c r="K74" s="2" t="inlineStr">
        <is>
          <t>включён: True; свой процессинг: None; Redsys; not stated</t>
        </is>
      </c>
      <c r="L74" s="2" t="inlineStr">
        <is>
          <t>buyer (example seen in a social-media listing: 16 EUR ticket + 1 EUR gestion fee; snippet)</t>
        </is>
      </c>
      <c r="M74" s="2" t="inlineStr"/>
      <c r="N74" s="2" t="inlineStr"/>
      <c r="O74" s="2" t="inlineStr"/>
      <c r="P74" s="2" t="inlineStr"/>
      <c r="Q74" s="2" t="inlineStr"/>
      <c r="R74" s="2" t="inlineStr">
        <is>
          <t>• Cards from foreign issuers are blocked when the issuing country differs from the country of payment (FAQ anti-fraud filter)
• No cancellations or exchanges by Bacantix for buyers</t>
        </is>
      </c>
      <c r="S74" s="2" t="inlineStr"/>
      <c r="T74" s="2" t="inlineStr">
        <is>
          <t>Contact sales - no public promoter price</t>
        </is>
      </c>
      <c r="U74" s="2" t="inlineStr">
        <is>
          <t>Spanish regional ticketing (town councils, fiestas, theatres, Melilla/Alicante area); operated by Bacanti Inversiones y Servicios SL</t>
        </is>
      </c>
      <c r="V74" s="2" t="inlineStr">
        <is>
          <t>page</t>
        </is>
      </c>
      <c r="W74" s="2" t="inlineStr">
        <is>
          <t>https://www.bacantix.com/entradas/documento.aspx?id=alcazar&amp;documento=preguntasfrecuentes (FAQ: payment methods, Redsys, intermediary role, anti-fraud limits 1000 EUR/24h per IP and card)
https://www.bacantix.com/Entradas/Promotores.aspx?id=alcazar (promoter area is a login page - no terms)</t>
        </is>
      </c>
    </row>
    <row r="75">
      <c r="A75" s="2" t="inlineStr">
        <is>
          <t>Южная Европа</t>
        </is>
      </c>
      <c r="B75" s="22" t="inlineStr">
        <is>
          <t>Koobin / KoobinEvent</t>
        </is>
      </c>
      <c r="C75" s="2" t="inlineStr">
        <is>
          <t>https://www.koobin.com</t>
        </is>
      </c>
      <c r="D75" s="2" t="inlineStr">
        <is>
          <t>Spain</t>
        </is>
      </c>
      <c r="E75" s="2" t="inlineStr">
        <is>
          <t>EUR</t>
        </is>
      </c>
      <c r="F75" s="2" t="inlineStr">
        <is>
          <t>не выяснено</t>
        </is>
      </c>
      <c r="G75" s="2" t="inlineStr">
        <is>
          <t>Venue installs the software; payment arrangement not stated. Pricing only after a meeting.</t>
        </is>
      </c>
      <c r="H75" s="2" t="inlineStr">
        <is>
          <t>negotiated</t>
        </is>
      </c>
      <c r="I75" s="2" t="inlineStr"/>
      <c r="J75" s="2" t="inlineStr"/>
      <c r="K75" s="2" t="inlineStr"/>
      <c r="L75" s="2" t="inlineStr"/>
      <c r="M75" s="2" t="inlineStr"/>
      <c r="N75" s="2" t="inlineStr"/>
      <c r="O75" s="2" t="inlineStr"/>
      <c r="P75" s="2" t="inlineStr"/>
      <c r="Q75" s="2" t="inlineStr"/>
      <c r="R75" s="2" t="inlineStr"/>
      <c r="S75" s="2" t="inlineStr"/>
      <c r="T75" s="2" t="inlineStr">
        <is>
          <t>Contact sales</t>
        </is>
      </c>
      <c r="U75" s="2" t="inlineStr">
        <is>
          <t>Ticketing SOFTWARE for sports clubs, auditoriums, theatres, promoters (Girona); sells to venues, not self-serve</t>
        </is>
      </c>
      <c r="V75" s="2" t="inlineStr">
        <is>
          <t>page</t>
        </is>
      </c>
      <c r="W75" s="2" t="inlineStr">
        <is>
          <t>https://www.koobin.com (no public price; 'request a meeting'; subscriptions, packages, seating, CRM, dynamic pricing, API; AWS)</t>
        </is>
      </c>
    </row>
    <row r="76">
      <c r="A76" s="2" t="inlineStr">
        <is>
          <t>Южная Европа</t>
        </is>
      </c>
      <c r="B76" s="22" t="inlineStr">
        <is>
          <t>Vivetix</t>
        </is>
      </c>
      <c r="C76" s="2" t="inlineStr">
        <is>
          <t>https://vivetix.com</t>
        </is>
      </c>
      <c r="D76" s="2" t="inlineStr">
        <is>
          <t>Spain</t>
        </is>
      </c>
      <c r="E76" s="2" t="inlineStr">
        <is>
          <t>EUR</t>
        </is>
      </c>
      <c r="F76" s="2" t="inlineStr">
        <is>
          <t>собирает на себя</t>
        </is>
      </c>
      <c r="G76" s="2" t="inlineStr">
        <is>
          <t>Platform gateway collects; organiser withdraws balance (withdrawals free). Vivetix says it holds funds in an external escrow account until the event takes place (own claim).</t>
        </is>
      </c>
      <c r="H76" s="2" t="inlineStr">
        <is>
          <t>percent_plus_fixed</t>
        </is>
      </c>
      <c r="I76" s="2" t="inlineStr">
        <is>
          <t>• Base rate ('Tarifa base'): 1.0% +0.1 — Use of Vivetix and card-payment costs (gateway included) — Default for every event; other rates by contacting Vivetix. Blog text elsewhere says '2% + 0.10 EUR' (inconsistent with the pricing page 1% + 0.10 EUR)
• 'Tu ticketera' (white label): 3.0% +0.1 — Own-branded ticket shop — Page: 'Coste 2%' extra on top of the base 1% -&gt; 3% + 0.10 EUR (interpretation)
• Advance payout:  — Withdraw up to 70% of balance before the event ends (needs risk-department approval) — Costs an extra 10% (ex IVA)
• Featured public listing:  — 'Publico y quiero destacarlo' — Extra 1%</t>
        </is>
      </c>
      <c r="J76" s="2" t="inlineStr"/>
      <c r="K76" s="2" t="inlineStr">
        <is>
          <t>включён: True; свой процессинг: None; gateway/card costs included in the 1% + 0.10 EUR</t>
        </is>
      </c>
      <c r="L76" s="2" t="inlineStr">
        <is>
          <t>configurable: 'attendees pay IVA included / organiser receives IVA included' toggle exists; buyer-fee split is chosen by the organiser</t>
        </is>
      </c>
      <c r="M76" s="2" t="inlineStr">
        <is>
          <t>Free events: no management fees and no card fees (free events have no gateway).</t>
        </is>
      </c>
      <c r="N76" s="2" t="inlineStr"/>
      <c r="O76" s="2" t="inlineStr">
        <is>
          <t>Free withdrawals from balance after sales; advance (up to 70%) costs 10%.</t>
        </is>
      </c>
      <c r="P76" s="2" t="inlineStr">
        <is>
          <t>Per competitor quoting T&amp;Cs: if an event is cancelled and Vivetix refunds buyers, organiser owes the publication-service cost + 1% of each ticket price as cancellation commission (snippet, not opened).</t>
        </is>
      </c>
      <c r="Q76" s="2" t="inlineStr">
        <is>
          <t>Fees are stated WITHOUT IVA ('IVA no incluido'); organiser may choose to show IVA-inclusive ticket price</t>
        </is>
      </c>
      <c r="R76" s="2" t="inlineStr">
        <is>
          <t>• Private accounts (individuals) cannot create paid events or withdraw through the gateway
• Rates for other tiers 'by contacting us'</t>
        </is>
      </c>
      <c r="S76" s="2" t="inlineStr"/>
      <c r="T76" s="2" t="inlineStr"/>
      <c r="U76" s="2" t="inlineStr">
        <is>
          <t>Spanish self-serve ticketing (company Tonic Time SL), Spain + Latin America; markets itself as cheapest; claims escrow</t>
        </is>
      </c>
      <c r="V76" s="2" t="inlineStr">
        <is>
          <t>page</t>
        </is>
      </c>
      <c r="W76" s="2" t="inlineStr">
        <is>
          <t>https://vivetix.com/crear-un-evento-online (creator page with country fee list ES / MX)
https://vivetix.com/b/tarifa-precio-vivetix (blog: base fee 2% + 0.10 EUR + IVA with gateway included (inconsistent with creator page))
https://soundtix.com/blog/comparativa-ticketeras-espana-2026 (competitor article incl. cancellation fee quote: organiser pays publication cost + 1% of each ticket price if event cancelled and buyers refunded; example 1% + 2% white label + 10% advance + 21% IVA)</t>
        </is>
      </c>
    </row>
    <row r="77">
      <c r="A77" s="2" t="inlineStr">
        <is>
          <t>Южная Европа</t>
        </is>
      </c>
      <c r="B77" s="22" t="inlineStr">
        <is>
          <t>Vivetix</t>
        </is>
      </c>
      <c r="C77" s="2" t="inlineStr">
        <is>
          <t>https://vivetix.com</t>
        </is>
      </c>
      <c r="D77" s="2" t="inlineStr">
        <is>
          <t>Mexico</t>
        </is>
      </c>
      <c r="E77" s="2" t="inlineStr">
        <is>
          <t>MXN</t>
        </is>
      </c>
      <c r="F77" s="2" t="inlineStr">
        <is>
          <t>собирает на себя</t>
        </is>
      </c>
      <c r="G77" s="2" t="inlineStr"/>
      <c r="H77" s="2" t="inlineStr">
        <is>
          <t>percent</t>
        </is>
      </c>
      <c r="I77" s="2" t="inlineStr">
        <is>
          <t>• Base: 2.5% — 2.5% for use of Vivetix, excludes MercadoPago cost
• White label: 3.5% — 3.5%, excludes MercadoPago cost</t>
        </is>
      </c>
      <c r="J77" s="2" t="inlineStr"/>
      <c r="K77" s="2" t="inlineStr"/>
      <c r="L77" s="2" t="inlineStr"/>
      <c r="M77" s="2" t="inlineStr"/>
      <c r="N77" s="2" t="inlineStr"/>
      <c r="O77" s="2" t="inlineStr"/>
      <c r="P77" s="2" t="inlineStr"/>
      <c r="Q77" s="2" t="inlineStr">
        <is>
          <t>fees ex IVA</t>
        </is>
      </c>
      <c r="R77" s="2" t="inlineStr"/>
      <c r="S77" s="2" t="inlineStr"/>
      <c r="T77" s="2" t="inlineStr"/>
      <c r="U77" s="2" t="inlineStr">
        <is>
          <t>Spanish self-serve ticketing (company Tonic Time SL), Spain + Latin America; markets itself as cheapest; claims escrow</t>
        </is>
      </c>
      <c r="V77" s="2" t="inlineStr">
        <is>
          <t>page</t>
        </is>
      </c>
      <c r="W77" s="2" t="inlineStr">
        <is>
          <t>https://vivetix.com/crear-un-evento-online (country fee list)</t>
        </is>
      </c>
    </row>
    <row r="78">
      <c r="A78" s="2" t="inlineStr">
        <is>
          <t>Южная Европа</t>
        </is>
      </c>
      <c r="B78" s="22" t="inlineStr">
        <is>
          <t>Notikumi Pro</t>
        </is>
      </c>
      <c r="C78" s="2" t="inlineStr">
        <is>
          <t>https://pro.notikumi.com</t>
        </is>
      </c>
      <c r="D78" s="2" t="inlineStr">
        <is>
          <t>Spain</t>
        </is>
      </c>
      <c r="E78" s="2" t="inlineStr">
        <is>
          <t>EUR</t>
        </is>
      </c>
      <c r="F78" s="2" t="inlineStr">
        <is>
          <t>не выяснено</t>
        </is>
      </c>
      <c r="G78" s="2" t="inlineStr">
        <is>
          <t>Not stated on the pricing page. Competitor article claims buyers see ~10% fees in practice and a PayPal surcharge of &gt; 1 EUR.</t>
        </is>
      </c>
      <c r="H78" s="2" t="inlineStr">
        <is>
          <t>mixed</t>
        </is>
      </c>
      <c r="I78" s="2" t="inlineStr">
        <is>
          <t>• Basic: 5.0% +0.5 29/мес — Unlimited ticketing, white-label, numbered seating, season tickets, card + PayPal + instalments, 1,000 newsletter sends/day (30,000/month; extra EUR 6 per 1,000), CRM, segmentation, BI — Per-ticket: EUR 0.50, or 5% if the ticket is above EUR 10 (ex IVA). Page header says 'sin costes fijos' while plans carry EUR 29/89 per month - 'try now' free trial, no card
• Pro: 5.0% +0.5 89/мес — Everything in Basic + API access to ticketing/marketing/BI, third-party integrations (Zoho, Mailchimp, Mailjet, Power BI, Looker Studio, Google Sheets), 5,000-100,000 daily sends with volume discount — Same per-ticket price as shown
• Pro+ (large venues, promoters):  — All of the above; contact-sales — Price not public</t>
        </is>
      </c>
      <c r="J78" s="2" t="inlineStr"/>
      <c r="K78" s="2" t="inlineStr">
        <is>
          <t>включён: None; свой процессинг: None; Card, PayPal, Pago a plazos; not stated</t>
        </is>
      </c>
      <c r="L78" s="2" t="inlineStr"/>
      <c r="M78" s="2" t="inlineStr"/>
      <c r="N78" s="2" t="inlineStr"/>
      <c r="O78" s="2" t="inlineStr"/>
      <c r="P78" s="2" t="inlineStr"/>
      <c r="Q78" s="2" t="inlineStr">
        <is>
          <t>Prices are stated EXCLUDING IVA</t>
        </is>
      </c>
      <c r="R78" s="2" t="inlineStr">
        <is>
          <t>• Discounts for NGOs, students and solidarity projects 'on request'
• Newsletter overage EUR 6 per 1,000 recipients</t>
        </is>
      </c>
      <c r="S78" s="2" t="inlineStr"/>
      <c r="T78" s="2" t="inlineStr">
        <is>
          <t>Pro+: contact sales</t>
        </is>
      </c>
      <c r="U78" s="2" t="inlineStr">
        <is>
          <t>Valencia-based ticketing + CRM + newsletters + BI suite for cultural venues/promoters; white-label, no buyer registration</t>
        </is>
      </c>
      <c r="V78" s="2" t="inlineStr">
        <is>
          <t>page</t>
        </is>
      </c>
      <c r="W78" s="2" t="inlineStr">
        <is>
          <t>https://pro.notikumi.com/precios/ (pricing page: Basic EUR 29/month, Pro EUR 89/month, per ticket EUR 0.50 or 5% above EUR 10, ex IVA)
https://soundtix.com/blog/comparativa-ticketeras-espana-2026 (competitor article: real buyer fee ~10%, PayPal &gt; 1 EUR extra (unverified))</t>
        </is>
      </c>
    </row>
    <row r="79">
      <c r="A79" s="2" t="inlineStr">
        <is>
          <t>Южная Европа</t>
        </is>
      </c>
      <c r="B79" s="22" t="inlineStr">
        <is>
          <t>Xceed</t>
        </is>
      </c>
      <c r="C79" s="2" t="inlineStr">
        <is>
          <t>https://xceed.me</t>
        </is>
      </c>
      <c r="D79" s="2" t="inlineStr">
        <is>
          <t>Spain (country selector also lists IT, PT, BE, FR, DE, IE, NL, UK, US, Rest of world)</t>
        </is>
      </c>
      <c r="E79" s="2" t="inlineStr">
        <is>
          <t>EUR</t>
        </is>
      </c>
      <c r="F79" s="2" t="inlineStr">
        <is>
          <t>не выяснено</t>
        </is>
      </c>
      <c r="G79" s="2" t="inlineStr">
        <is>
          <t>Not stated.</t>
        </is>
      </c>
      <c r="H79" s="2" t="inlineStr">
        <is>
          <t>mixed</t>
        </is>
      </c>
      <c r="I79" s="2" t="inlineStr">
        <is>
          <t>• Esencial:  — Unlimited events, link tracking, analytics, multi-device scanner app, chat support Mon-Fri — Transaction fee applies to online sales
• Premium: 49/мес 29/год — Esencial + custom page / site integration, phone + chat support daily, EUR 200 Xceed Advertising credit — EUR 29/month billed annually, EUR 49 billed monthly
• Pro: 59/мес 44/год — Premium + digital seating map, promoter accounting automation, custom integrations, dedicated 24/7 support, EUR 300 ad credit, 1 pro photo shoot — EUR 44/month billed annually, EUR 59 billed monthly</t>
        </is>
      </c>
      <c r="J79" s="2" t="inlineStr"/>
      <c r="K79" s="2" t="inlineStr"/>
      <c r="L79" s="2" t="inlineStr">
        <is>
          <t>configurable: 'pass fees to customer' (organiser nets full price, buyer fee shown) or 'absorb' (as low as 3%)</t>
        </is>
      </c>
      <c r="M79" s="2" t="inlineStr">
        <is>
          <t>Free events: free unlimited use; free bookings via the verified marketplace pay a referral fee EUR 0.07 per single free booking</t>
        </is>
      </c>
      <c r="N79" s="2" t="inlineStr"/>
      <c r="O79" s="2" t="inlineStr"/>
      <c r="P79" s="2" t="inlineStr"/>
      <c r="Q79" s="2" t="inlineStr">
        <is>
          <t>Not stated on the page</t>
        </is>
      </c>
      <c r="R79" s="2" t="inlineStr">
        <is>
          <t>• Bookings through Xceed's verified marketplace carry a 15% marketing referral fee (EUR 0.07 per free single booking)
• Cashback tiers: 'the more you sell the more you get back' (no numbers)
• Unlimited extra users free
• Slider example: 20 EUR ticket, buyer fee 1.60 EUR (8%) - the country shown by default is not stated; per-country fees not readable (JS slider)</t>
        </is>
      </c>
      <c r="S79" s="2" t="inlineStr">
        <is>
          <t>• {"name": "Xceed Advertising", "price": "credits included on Premium (200) and Pro (300)"}</t>
        </is>
      </c>
      <c r="T79" s="2" t="inlineStr">
        <is>
          <t>Large venues/complex events: contact help@xceed.me</t>
        </is>
      </c>
      <c r="U79" s="2" t="inlineStr">
        <is>
          <t>Nightlife / clubs / electronic events ticketing and guest-list platform (Spain, Italy, Portugal, Belgium, France, Germany, UK ...), own marketplace app</t>
        </is>
      </c>
      <c r="V79" s="2" t="inlineStr">
        <is>
          <t>page</t>
        </is>
      </c>
      <c r="W79" s="2" t="inlineStr">
        <is>
          <t>https://xceed.me/es/pricing (pricing page: plans; absorb fee 'as low as 3%'; pass-to-buyer example 20 EUR ticket -&gt; buyer fee 1.60 EUR; marketplace referral fee 15%)</t>
        </is>
      </c>
    </row>
    <row r="80">
      <c r="A80" s="2" t="inlineStr">
        <is>
          <t>Южная Европа</t>
        </is>
      </c>
      <c r="B80" s="22" t="inlineStr">
        <is>
          <t>BuscaTuSitio</t>
        </is>
      </c>
      <c r="C80" s="2" t="inlineStr">
        <is>
          <t>https://buscatusitio.com</t>
        </is>
      </c>
      <c r="D80" s="2" t="inlineStr">
        <is>
          <t>Spain</t>
        </is>
      </c>
      <c r="E80" s="2" t="inlineStr">
        <is>
          <t>EUR</t>
        </is>
      </c>
      <c r="F80" s="2" t="inlineStr">
        <is>
          <t>не выяснено</t>
        </is>
      </c>
      <c r="G80" s="2" t="inlineStr"/>
      <c r="H80" s="2" t="inlineStr">
        <is>
          <t>percent</t>
        </is>
      </c>
      <c r="I80" s="2" t="inlineStr">
        <is>
          <t>• All-inclusive: 2.5% мин 1.0 — '2.5% total with everything included, minimum 1 EUR per ticket' - only read from its own comparison calculator, not from a pricing page</t>
        </is>
      </c>
      <c r="J80" s="2" t="inlineStr"/>
      <c r="K80" s="2" t="inlineStr"/>
      <c r="L80" s="2" t="inlineStr"/>
      <c r="M80" s="2" t="inlineStr"/>
      <c r="N80" s="2" t="inlineStr"/>
      <c r="O80" s="2" t="inlineStr"/>
      <c r="P80" s="2" t="inlineStr"/>
      <c r="Q80" s="2" t="inlineStr"/>
      <c r="R80" s="2" t="inlineStr"/>
      <c r="S80" s="2" t="inlineStr"/>
      <c r="T80" s="2" t="inlineStr"/>
      <c r="U80" s="2" t="inlineStr">
        <is>
          <t>Spanish ticketing + seat-map creator that publishes the comparison calculator used as a source above</t>
        </is>
      </c>
      <c r="V80" s="2" t="inlineStr">
        <is>
          <t>snippet</t>
        </is>
      </c>
      <c r="W80" s="2" t="inlineStr">
        <is>
          <t>https://buscatusitio.com/comisiones-ticketing (self-reported figure in its own comparison tool)</t>
        </is>
      </c>
    </row>
    <row r="81">
      <c r="A81" s="2" t="inlineStr">
        <is>
          <t>Южная Европа</t>
        </is>
      </c>
      <c r="B81" s="22" t="inlineStr">
        <is>
          <t>SPAIN CONTEXT (not a platform): IVA and management-fee regulation</t>
        </is>
      </c>
      <c r="C81" s="2" t="n"/>
      <c r="D81" s="2" t="inlineStr">
        <is>
          <t>Spain</t>
        </is>
      </c>
      <c r="E81" s="2" t="inlineStr">
        <is>
          <t>EUR</t>
        </is>
      </c>
      <c r="F81" s="2" t="inlineStr">
        <is>
          <t>не выяснено</t>
        </is>
      </c>
      <c r="G81" s="2" t="inlineStr">
        <is>
          <t>Spanish consumer authority (Direccion General de Consumo, informative note Aug 2024): management fees for online show tickets must be included in the price shown at all times, itemised, a FIXED amount that does not vary with ticket price nor be a percentage of it for the same event (unless justified by additional services), only for services the consumer receives, not above the in-person extra costs. A source says Real Decreto-ley 4/2026 (10 Feb 2026) changed art. 20.1.c TRLGDCU to require the full final price including management fees (verify in BOE). OCU: 92% of analysed companies apply management fees, average surcharge 11%.</t>
        </is>
      </c>
      <c r="H81" s="2" t="inlineStr">
        <is>
          <t>mixed</t>
        </is>
      </c>
      <c r="I81" s="2" t="inlineStr"/>
      <c r="J81" s="2" t="inlineStr"/>
      <c r="K81" s="2" t="inlineStr"/>
      <c r="L81" s="2" t="inlineStr"/>
      <c r="M81" s="2" t="inlineStr"/>
      <c r="N81" s="2" t="inlineStr"/>
      <c r="O81" s="2" t="inlineStr"/>
      <c r="P81" s="2" t="inlineStr"/>
      <c r="Q81" s="2" t="inlineStr">
        <is>
          <t>Tickets to live cultural shows (theatre, concerts, cinema, circus, bullfights, museums) = 10% IVA (art. 91.Uno.2.6 LIVA); professional events/congresses/B2B training and professional sport = 21%; the platform's fee as an intermediation/tech service is generally 21% IVA, deductible for an organiser under the general regime (a Soundtix blog says this depends on the contract and invoice structure). Platforms quote either ex-IVA (Entradium, Vivetix, Notikumi) or IVA-included (Eventim.Light, Tuk Tuk, Soundtix).</t>
        </is>
      </c>
      <c r="R81" s="2" t="inlineStr">
        <is>
          <t>• A percentage buyer fee (Tuk Tuk 8-9%, Notikumi 5%, Eventim 3.5%) conflicts with the Consumo guidance of a fixed amount per event - relevant for Arena's Spain pricing
• Competitor blogs (Soundtix) are not legal advice</t>
        </is>
      </c>
      <c r="S81" s="2" t="inlineStr"/>
      <c r="T81" s="2" t="inlineStr"/>
      <c r="U81" s="2" t="inlineStr">
        <is>
          <t>Reference facts for Spanish pricing design</t>
        </is>
      </c>
      <c r="V81" s="2" t="inlineStr">
        <is>
          <t>snippet</t>
        </is>
      </c>
      <c r="W81" s="2" t="inlineStr">
        <is>
          <t>https://soundtix.com/blog/iva-venta-entradas-espana-que-tipo-aplicar (VAT guide: 10% cultural vs 21% general; fee 21%)
https://portal-cec.consumo.gob.es/sites/default/files/documentos/NI_Gastos_Gestion_Entradas_Espectaculos_08_08_2024.pdf (Consumo note on management fees (read via search summary, PDF not decoded))
https://www.dsca.gob.es/es/comunicacion/notas-prensa/consumo-pone-foco-gastos-gestion-compra-online-entradas-espectaculos (Consumo press release (search result, not opened))
https://www.ocu.org/consumo-familia/derechos-consumidor/noticias/gastos-gestion-entradas (OCU on management fees (search result, not opened))</t>
        </is>
      </c>
    </row>
    <row r="82">
      <c r="A82" s="2" t="inlineStr">
        <is>
          <t>Южная Европа</t>
        </is>
      </c>
      <c r="B82" s="22" t="inlineStr">
        <is>
          <t>BOL - Bilheteira Online</t>
        </is>
      </c>
      <c r="C82" s="2" t="inlineStr">
        <is>
          <t>https://www.bol.pt</t>
        </is>
      </c>
      <c r="D82" s="2" t="inlineStr">
        <is>
          <t>Portugal</t>
        </is>
      </c>
      <c r="E82" s="2" t="inlineStr">
        <is>
          <t>EUR</t>
        </is>
      </c>
      <c r="F82" s="2" t="inlineStr">
        <is>
          <t>собирает на себя</t>
        </is>
      </c>
      <c r="G82" s="2" t="inlineStr">
        <is>
          <t>Marketplace that sells to buyers and settles with the promoter (inferred; no organiser terms public). Its own T&amp;Cs exclude refund of service commissions on cancellations (DECO finding).</t>
        </is>
      </c>
      <c r="H82" s="2" t="inlineStr">
        <is>
          <t>negotiated</t>
        </is>
      </c>
      <c r="I82" s="2" t="inlineStr"/>
      <c r="J82" s="2" t="inlineStr"/>
      <c r="K82" s="2" t="inlineStr"/>
      <c r="L82" s="2" t="inlineStr"/>
      <c r="M82" s="2" t="inlineStr"/>
      <c r="N82" s="2" t="inlineStr"/>
      <c r="O82" s="2" t="inlineStr"/>
      <c r="P82" s="2" t="inlineStr"/>
      <c r="Q82" s="2" t="inlineStr"/>
      <c r="R82" s="2" t="inlineStr"/>
      <c r="S82" s="2" t="inlineStr"/>
      <c r="T82" s="2" t="inlineStr">
        <is>
          <t>Contact sales / negotiated; no public fee</t>
        </is>
      </c>
      <c r="U82" s="2" t="inlineStr">
        <is>
          <t>Largest Portuguese ticketing marketplace (ETNAGA, since 1992): 400+ organisers, 1,500+ physical points (Fnac, CTT, El Corte Ingles), Portugal and Spain</t>
        </is>
      </c>
      <c r="V82" s="2" t="inlineStr">
        <is>
          <t>snippet</t>
        </is>
      </c>
      <c r="W82" s="2" t="inlineStr">
        <is>
          <t>https://nevent.ai/es/plataformas-venta-entradas/bol/ (third-party directory: commissions 'no publicadas', negotiated)
https://www.bol.pt/Ajuda/CondicoesGerais (search snippet: on cancellation promoter refunds buyers excluding processing costs)
https://jornaleconomico.sapo.pt/?p=1385187 (DECO: Ticketline/Fnac/BOL/MEO Blueticket T&amp;Cs exclude refunding commissions (via search summary))</t>
        </is>
      </c>
    </row>
    <row r="83">
      <c r="A83" s="2" t="inlineStr">
        <is>
          <t>Южная Европа</t>
        </is>
      </c>
      <c r="B83" s="22" t="inlineStr">
        <is>
          <t>Ticketline</t>
        </is>
      </c>
      <c r="C83" s="2" t="inlineStr">
        <is>
          <t>https://ticketline.sapo.pt</t>
        </is>
      </c>
      <c r="D83" s="2" t="inlineStr">
        <is>
          <t>Portugal</t>
        </is>
      </c>
      <c r="E83" s="2" t="inlineStr">
        <is>
          <t>EUR</t>
        </is>
      </c>
      <c r="F83" s="2" t="inlineStr">
        <is>
          <t>собирает на себя</t>
        </is>
      </c>
      <c r="G83" s="2" t="inlineStr">
        <is>
          <t>Marketplace; promoter terms not public. Observador reports a usual 6% service commission charged on the ticket (and on server-reinforcement extras) - this appears to be a buyer-side fee. Ticketline says technical reinforcement for high-demand shows is included in the service and not charged to the promoter in advance.</t>
        </is>
      </c>
      <c r="H83" s="2" t="inlineStr">
        <is>
          <t>negotiated</t>
        </is>
      </c>
      <c r="I83" s="2" t="inlineStr"/>
      <c r="J83" s="2" t="inlineStr"/>
      <c r="K83" s="2" t="inlineStr"/>
      <c r="L83" s="2" t="inlineStr"/>
      <c r="M83" s="2" t="inlineStr"/>
      <c r="N83" s="2" t="inlineStr"/>
      <c r="O83" s="2" t="inlineStr"/>
      <c r="P83" s="2" t="inlineStr"/>
      <c r="Q83" s="2" t="inlineStr"/>
      <c r="R83" s="2" t="inlineStr"/>
      <c r="S83" s="2" t="inlineStr"/>
      <c r="T83" s="2" t="inlineStr">
        <is>
          <t>Promoter commission not public</t>
        </is>
      </c>
      <c r="U83" s="2" t="inlineStr">
        <is>
          <t>Major Portuguese ticketing network (concerts, theatre, exhibitions)</t>
        </is>
      </c>
      <c r="V83" s="2" t="inlineStr">
        <is>
          <t>snippet</t>
        </is>
      </c>
      <c r="W83" s="2" t="inlineStr">
        <is>
          <t>https://observador.pt/especiais/bilhetes-para-concertos-mais-caros-ha-espetaculos-com-taxa-extra-para-garantir-servidores-mais-potentes/ (6% usual service commission (read via search summary))
https://jornaleconomico.sapo.pt/?p=1385187 (DECO: T&amp;Cs exclude refunding service fees on cancellation)</t>
        </is>
      </c>
    </row>
    <row r="84">
      <c r="A84" s="2" t="inlineStr">
        <is>
          <t>Южная Европа</t>
        </is>
      </c>
      <c r="B84" s="22" t="inlineStr">
        <is>
          <t>MEO Blueticket</t>
        </is>
      </c>
      <c r="C84" s="2" t="inlineStr">
        <is>
          <t>https://www.blueticket.pt</t>
        </is>
      </c>
      <c r="D84" s="2" t="inlineStr">
        <is>
          <t>Portugal</t>
        </is>
      </c>
      <c r="E84" s="2" t="inlineStr">
        <is>
          <t>EUR</t>
        </is>
      </c>
      <c r="F84" s="2" t="inlineStr">
        <is>
          <t>собирает на себя</t>
        </is>
      </c>
      <c r="G84" s="2" t="inlineStr">
        <is>
          <t>Inferred marketplace. Buyer-side service commission of 6% is retained on cancellations per a consumer complaint; for high-demand shows the technical-reinforcement cost 'may or may not' be charged to the promoter depending on the deal.</t>
        </is>
      </c>
      <c r="H84" s="2" t="inlineStr">
        <is>
          <t>negotiated</t>
        </is>
      </c>
      <c r="I84" s="2" t="inlineStr"/>
      <c r="J84" s="2" t="inlineStr"/>
      <c r="K84" s="2" t="inlineStr"/>
      <c r="L84" s="2" t="inlineStr"/>
      <c r="M84" s="2" t="inlineStr"/>
      <c r="N84" s="2" t="inlineStr"/>
      <c r="O84" s="2" t="inlineStr"/>
      <c r="P84" s="2" t="inlineStr"/>
      <c r="Q84" s="2" t="inlineStr"/>
      <c r="R84" s="2" t="inlineStr"/>
      <c r="S84" s="2" t="inlineStr"/>
      <c r="T84" s="2" t="inlineStr">
        <is>
          <t>Contact sales; no organiser fee published</t>
        </is>
      </c>
      <c r="U84" s="2" t="inlineStr">
        <is>
          <t>Large Portuguese ticketing operator (Altice Portugal controls 51%), 200+ physical points, eTicketing platform for venues/promoters</t>
        </is>
      </c>
      <c r="V84" s="2" t="inlineStr">
        <is>
          <t>snippet</t>
        </is>
      </c>
      <c r="W84" s="2" t="inlineStr">
        <is>
          <t>https://portaldaqueixa.com/brands/blueticket-venda-de-bilhetes-online/complaints/meo-blueticket-reembolso-incompleto-apos-cancelamento-de-evento-1-157438926 (consumer complaint, 6% service commission kept (via search summary))</t>
        </is>
      </c>
    </row>
    <row r="85">
      <c r="A85" s="2" t="inlineStr">
        <is>
          <t>Южная Европа</t>
        </is>
      </c>
      <c r="B85" s="22" t="inlineStr">
        <is>
          <t>Imperdivel</t>
        </is>
      </c>
      <c r="C85" s="2" t="inlineStr">
        <is>
          <t>https://www.imperdivel.pt</t>
        </is>
      </c>
      <c r="D85" s="2" t="inlineStr">
        <is>
          <t>Portugal</t>
        </is>
      </c>
      <c r="E85" s="2" t="inlineStr">
        <is>
          <t>EUR</t>
        </is>
      </c>
      <c r="F85" s="2" t="inlineStr">
        <is>
          <t>не выяснено</t>
        </is>
      </c>
      <c r="G85" s="2" t="inlineStr">
        <is>
          <t>Website showed a maintenance notice ('Temporariamente indisponivel') on 2026-10-09; nothing could be read.</t>
        </is>
      </c>
      <c r="H85" s="2" t="inlineStr">
        <is>
          <t>negotiated</t>
        </is>
      </c>
      <c r="I85" s="2" t="inlineStr"/>
      <c r="J85" s="2" t="inlineStr"/>
      <c r="K85" s="2" t="inlineStr"/>
      <c r="L85" s="2" t="inlineStr"/>
      <c r="M85" s="2" t="inlineStr"/>
      <c r="N85" s="2" t="inlineStr"/>
      <c r="O85" s="2" t="inlineStr"/>
      <c r="P85" s="2" t="inlineStr"/>
      <c r="Q85" s="2" t="inlineStr"/>
      <c r="R85" s="2" t="inlineStr"/>
      <c r="S85" s="2" t="inlineStr"/>
      <c r="T85" s="2" t="inlineStr"/>
      <c r="U85" s="2" t="inlineStr">
        <is>
          <t>Portuguese ticket seller</t>
        </is>
      </c>
      <c r="V85" s="2" t="inlineStr">
        <is>
          <t>page</t>
        </is>
      </c>
      <c r="W85" s="2" t="inlineStr">
        <is>
          <t>https://www.imperdivel.pt (maintenance page)</t>
        </is>
      </c>
    </row>
    <row r="86">
      <c r="A86" s="2" t="inlineStr">
        <is>
          <t>Южная Европа</t>
        </is>
      </c>
      <c r="B86" s="22" t="inlineStr">
        <is>
          <t>3cket</t>
        </is>
      </c>
      <c r="C86" s="2" t="inlineStr">
        <is>
          <t>https://business.3cket.com</t>
        </is>
      </c>
      <c r="D86" s="2" t="inlineStr">
        <is>
          <t>Portugal</t>
        </is>
      </c>
      <c r="E86" s="2" t="inlineStr">
        <is>
          <t>EUR</t>
        </is>
      </c>
      <c r="F86" s="2" t="inlineStr">
        <is>
          <t>собирает на себя</t>
        </is>
      </c>
      <c r="G86" s="2" t="inlineStr">
        <is>
          <t>3cket runs the financial close and transfers the money to the organiser automatically on the first Wednesday after each event (tied to the refund window for tickets or cashless credits).</t>
        </is>
      </c>
      <c r="H86" s="2" t="inlineStr">
        <is>
          <t>mixed</t>
        </is>
      </c>
      <c r="I86" s="2" t="inlineStr">
        <is>
          <t>• Ticketing: 0.0% — Create events and sell tickets at no cost to the organiser; no monthly/subscription/joining fee — Page headline '0% de comissao' - the page does not state the buyer-side fee, which is where 3cket earns its revenue (not stated)
• Paid modules (cashless etc.):  — Prices not published; 'depends on your event's needs'; Cashless 'can be completely free' depending on needs</t>
        </is>
      </c>
      <c r="J86" s="2" t="inlineStr"/>
      <c r="K86" s="2" t="inlineStr">
        <is>
          <t>включён: True; свой процессинг: None; Card, Apple Pay, Google Pay, Klarna, MB WAY, Multibanco reference; not stated</t>
        </is>
      </c>
      <c r="L86" s="2" t="inlineStr">
        <is>
          <t>buyer (implied: 0% commission to organiser) - not explicitly stated on the page</t>
        </is>
      </c>
      <c r="M86" s="2" t="inlineStr"/>
      <c r="N86" s="2" t="inlineStr"/>
      <c r="O86" s="2" t="inlineStr">
        <is>
          <t>Automatic bank transfer on the first Wednesday after each event.</t>
        </is>
      </c>
      <c r="P86" s="2" t="inlineStr"/>
      <c r="Q86" s="2" t="inlineStr"/>
      <c r="R86" s="2" t="inlineStr">
        <is>
          <t>• Pricing page (./pricing) not read, so buyer fee level is unknown</t>
        </is>
      </c>
      <c r="S86" s="2" t="inlineStr"/>
      <c r="T86" s="2" t="inlineStr">
        <is>
          <t>Modules priced per event</t>
        </is>
      </c>
      <c r="U86" s="2" t="inlineStr">
        <is>
          <t>Portuguese ticketing + cashless for events, festivals, clubs; pays with MB WAY, Multibanco, cards, Klarna</t>
        </is>
      </c>
      <c r="V86" s="2" t="inlineStr">
        <is>
          <t>page</t>
        </is>
      </c>
      <c r="W86" s="2" t="inlineStr">
        <is>
          <t>https://business.3cket.com/ (organiser landing page (read via fetch summarizer): 0% commission, payout first Wednesday after the event)</t>
        </is>
      </c>
    </row>
    <row r="87">
      <c r="A87" s="2" t="inlineStr">
        <is>
          <t>Южная Европа</t>
        </is>
      </c>
      <c r="B87" s="22" t="inlineStr">
        <is>
          <t>Liveticket</t>
        </is>
      </c>
      <c r="C87" s="2" t="inlineStr">
        <is>
          <t>https://www.liveticket.it</t>
        </is>
      </c>
      <c r="D87" s="2" t="inlineStr">
        <is>
          <t>Italy</t>
        </is>
      </c>
      <c r="E87" s="2" t="inlineStr">
        <is>
          <t>EUR</t>
        </is>
      </c>
      <c r="F87" s="2" t="inlineStr">
        <is>
          <t>собирает на себя</t>
        </is>
      </c>
      <c r="G87" s="2" t="inlineStr">
        <is>
          <t>Home page describes a 'sistema in conto terzi' (sales on behalf of third parties = platform collects and settles). Prices only by quote.</t>
        </is>
      </c>
      <c r="H87" s="2" t="inlineStr">
        <is>
          <t>negotiated</t>
        </is>
      </c>
      <c r="I87" s="2" t="inlineStr"/>
      <c r="J87" s="2" t="inlineStr"/>
      <c r="K87" s="2" t="inlineStr"/>
      <c r="L87" s="2" t="inlineStr"/>
      <c r="M87" s="2" t="inlineStr"/>
      <c r="N87" s="2" t="inlineStr"/>
      <c r="O87" s="2" t="inlineStr"/>
      <c r="P87" s="2" t="inlineStr"/>
      <c r="Q87" s="2" t="inlineStr"/>
      <c r="R87" s="2" t="inlineStr"/>
      <c r="S87" s="2" t="inlineStr"/>
      <c r="T87" s="2" t="inlineStr">
        <is>
          <t>Request a quote (index.aspx?Id=35180); no public figure</t>
        </is>
      </c>
      <c r="U87" s="2" t="inlineStr">
        <is>
          <t>Italian ticketing for theatres, cinemas, concerts, museums, sports, festivals; also sells to resale points</t>
        </is>
      </c>
      <c r="V87" s="2" t="inlineStr">
        <is>
          <t>page</t>
        </is>
      </c>
      <c r="W87" s="2" t="inlineStr">
        <is>
          <t>https://www.liveticket.it (no prices; 'no maintenance or obsolescence costs'; free trial on request; third-party-account system)</t>
        </is>
      </c>
    </row>
    <row r="88">
      <c r="A88" s="2" t="inlineStr">
        <is>
          <t>Южная Европа</t>
        </is>
      </c>
      <c r="B88" s="22" t="inlineStr">
        <is>
          <t>Vivaticket</t>
        </is>
      </c>
      <c r="C88" s="2" t="inlineStr">
        <is>
          <t>https://www.vivaticket.com</t>
        </is>
      </c>
      <c r="D88" s="2" t="inlineStr">
        <is>
          <t>Italy</t>
        </is>
      </c>
      <c r="E88" s="2" t="inlineStr">
        <is>
          <t>EUR</t>
        </is>
      </c>
      <c r="F88" s="2" t="inlineStr">
        <is>
          <t>собирает на себя</t>
        </is>
      </c>
      <c r="G88" s="2" t="inlineStr">
        <is>
          <t>Presale service on behalf of the formal organiser; its T&amp;Cs say it has no power over event organisation and (per an Altroconsumo complaint) does not refund its fees when a show is cancelled. Site is behind a Queue-it waiting room so the organiser page could not be read.</t>
        </is>
      </c>
      <c r="H88" s="2" t="inlineStr">
        <is>
          <t>negotiated</t>
        </is>
      </c>
      <c r="I88" s="2" t="inlineStr"/>
      <c r="J88" s="2" t="inlineStr"/>
      <c r="K88" s="2" t="inlineStr"/>
      <c r="L88" s="2" t="inlineStr"/>
      <c r="M88" s="2" t="inlineStr"/>
      <c r="N88" s="2" t="inlineStr"/>
      <c r="O88" s="2" t="inlineStr"/>
      <c r="P88" s="2" t="inlineStr"/>
      <c r="Q88" s="2" t="inlineStr"/>
      <c r="R88" s="2" t="inlineStr"/>
      <c r="S88" s="2" t="inlineStr"/>
      <c r="T88" s="2" t="inlineStr">
        <is>
          <t>Not public</t>
        </is>
      </c>
      <c r="U88" s="2" t="inlineStr">
        <is>
          <t>Large Italian ticketing operator (Bestunion group): events, theatres, concert halls</t>
        </is>
      </c>
      <c r="V88" s="2" t="inlineStr">
        <is>
          <t>snippet</t>
        </is>
      </c>
      <c r="W88" s="2" t="inlineStr">
        <is>
          <t>https://www.altroconsumo.it/reclamare/bacheca-dei-reclami/mancato-rimborso-commissioni-v/ceed62c0f0fadba17f (complaint thread (via search summary))</t>
        </is>
      </c>
    </row>
    <row r="89">
      <c r="A89" s="2" t="inlineStr">
        <is>
          <t>Южная Европа</t>
        </is>
      </c>
      <c r="B89" s="22" t="inlineStr">
        <is>
          <t>Ciaotickets</t>
        </is>
      </c>
      <c r="C89" s="2" t="inlineStr">
        <is>
          <t>https://www.ciaotickets.com</t>
        </is>
      </c>
      <c r="D89" s="2" t="inlineStr">
        <is>
          <t>Italy</t>
        </is>
      </c>
      <c r="E89" s="2" t="inlineStr">
        <is>
          <t>EUR</t>
        </is>
      </c>
      <c r="F89" s="2" t="inlineStr">
        <is>
          <t>не выяснено</t>
        </is>
      </c>
      <c r="G89" s="2" t="inlineStr">
        <is>
          <t>Home page has no organiser pricing; 'Biglietteria elettronica' and 'Contatti' pages are the entry points. Buyers pay service fees (card refund net of 'commissioni di servizio').</t>
        </is>
      </c>
      <c r="H89" s="2" t="inlineStr">
        <is>
          <t>negotiated</t>
        </is>
      </c>
      <c r="I89" s="2" t="inlineStr"/>
      <c r="J89" s="2" t="inlineStr"/>
      <c r="K89" s="2" t="inlineStr"/>
      <c r="L89" s="2" t="inlineStr"/>
      <c r="M89" s="2" t="inlineStr"/>
      <c r="N89" s="2" t="inlineStr"/>
      <c r="O89" s="2" t="inlineStr"/>
      <c r="P89" s="2" t="inlineStr"/>
      <c r="Q89" s="2" t="inlineStr"/>
      <c r="R89" s="2" t="inlineStr"/>
      <c r="S89" s="2" t="inlineStr"/>
      <c r="T89" s="2" t="inlineStr">
        <is>
          <t>Contact only</t>
        </is>
      </c>
      <c r="U89" s="2" t="inlineStr">
        <is>
          <t>Italian ticketing for sport (Serie C clubs), cultural events, subscriptions</t>
        </is>
      </c>
      <c r="V89" s="2" t="inlineStr">
        <is>
          <t>snippet</t>
        </is>
      </c>
      <c r="W89" s="2" t="inlineStr">
        <is>
          <t>https://www.ciaotickets.com (home page; organiser pricing absent)
https://www.reggionline.com/san-donato-reggiana-le-modalita-rimborso-dei-biglietti/ (refund net of service fees (search summary))</t>
        </is>
      </c>
    </row>
    <row r="90">
      <c r="A90" s="2" t="inlineStr">
        <is>
          <t>Южная Европа</t>
        </is>
      </c>
      <c r="B90" s="22" t="inlineStr">
        <is>
          <t>DIY Ticket (diyticket.it)</t>
        </is>
      </c>
      <c r="C90" s="2" t="inlineStr">
        <is>
          <t>https://www.diyticket.it</t>
        </is>
      </c>
      <c r="D90" s="2" t="inlineStr">
        <is>
          <t>Italy</t>
        </is>
      </c>
      <c r="E90" s="2" t="inlineStr">
        <is>
          <t>EUR</t>
        </is>
      </c>
      <c r="F90" s="2" t="inlineStr">
        <is>
          <t>не выяснено</t>
        </is>
      </c>
      <c r="G90" s="2" t="inlineStr">
        <is>
          <t>Public pages (home, selfhelp) show only buyer information; no organiser fees.</t>
        </is>
      </c>
      <c r="H90" s="2" t="inlineStr">
        <is>
          <t>negotiated</t>
        </is>
      </c>
      <c r="I90" s="2" t="inlineStr"/>
      <c r="J90" s="2" t="inlineStr"/>
      <c r="K90" s="2" t="inlineStr"/>
      <c r="L90" s="2" t="inlineStr"/>
      <c r="M90" s="2" t="inlineStr"/>
      <c r="N90" s="2" t="inlineStr"/>
      <c r="O90" s="2" t="inlineStr"/>
      <c r="P90" s="2" t="inlineStr"/>
      <c r="Q90" s="2" t="inlineStr"/>
      <c r="R90" s="2" t="inlineStr"/>
      <c r="S90" s="2" t="inlineStr"/>
      <c r="T90" s="2" t="inlineStr">
        <is>
          <t>Contact only</t>
        </is>
      </c>
      <c r="U90" s="2" t="inlineStr">
        <is>
          <t>Rome-based ticketing with SisalPay/Mooney cash payment points; self-help organiser tools</t>
        </is>
      </c>
      <c r="V90" s="2" t="inlineStr">
        <is>
          <t>page</t>
        </is>
      </c>
      <c r="W90" s="2" t="inlineStr">
        <is>
          <t>https://www.diyticket.it/selfhelp (buyer-oriented, no organiser pricing)</t>
        </is>
      </c>
    </row>
    <row r="91">
      <c r="A91" s="2" t="inlineStr">
        <is>
          <t>Южная Европа</t>
        </is>
      </c>
      <c r="B91" s="22" t="inlineStr">
        <is>
          <t>Mailticket</t>
        </is>
      </c>
      <c r="C91" s="2" t="inlineStr">
        <is>
          <t>https://www.mailticket.it</t>
        </is>
      </c>
      <c r="D91" s="2" t="inlineStr">
        <is>
          <t>Italy</t>
        </is>
      </c>
      <c r="E91" s="2" t="inlineStr">
        <is>
          <t>EUR</t>
        </is>
      </c>
      <c r="F91" s="2" t="inlineStr">
        <is>
          <t>не выяснено</t>
        </is>
      </c>
      <c r="G91" s="2" t="inlineStr">
        <is>
          <t>Organiser page /info/organizzatori could not be read through the summarizer; no commission table found in search. Trustpilot score 1.5/5 (34 reviews) - customer-service reputation poor (search summary).</t>
        </is>
      </c>
      <c r="H91" s="2" t="inlineStr">
        <is>
          <t>negotiated</t>
        </is>
      </c>
      <c r="I91" s="2" t="inlineStr"/>
      <c r="J91" s="2" t="inlineStr"/>
      <c r="K91" s="2" t="inlineStr"/>
      <c r="L91" s="2" t="inlineStr"/>
      <c r="M91" s="2" t="inlineStr"/>
      <c r="N91" s="2" t="inlineStr"/>
      <c r="O91" s="2" t="inlineStr"/>
      <c r="P91" s="2" t="inlineStr"/>
      <c r="Q91" s="2" t="inlineStr"/>
      <c r="R91" s="2" t="inlineStr"/>
      <c r="S91" s="2" t="inlineStr"/>
      <c r="T91" s="2" t="inlineStr">
        <is>
          <t>Contact only</t>
        </is>
      </c>
      <c r="U91" s="2" t="inlineStr">
        <is>
          <t>Italian ticketing since 2000 for integrated box office, presale and access control</t>
        </is>
      </c>
      <c r="V91" s="2" t="inlineStr">
        <is>
          <t>page</t>
        </is>
      </c>
      <c r="W91" s="2" t="inlineStr">
        <is>
          <t>https://www.mailticket.it (home: link to organiser solutions only)</t>
        </is>
      </c>
    </row>
    <row r="92">
      <c r="A92" s="2" t="inlineStr">
        <is>
          <t>Южная Европа</t>
        </is>
      </c>
      <c r="B92" s="22" t="inlineStr">
        <is>
          <t>Billetto (Italy)</t>
        </is>
      </c>
      <c r="C92" s="2" t="inlineStr">
        <is>
          <t>https://go.billetto.com/it-it</t>
        </is>
      </c>
      <c r="D92" s="2" t="inlineStr">
        <is>
          <t>Italy</t>
        </is>
      </c>
      <c r="E92" s="2" t="inlineStr">
        <is>
          <t>EUR</t>
        </is>
      </c>
      <c r="F92" s="2" t="inlineStr">
        <is>
          <t>собирает на себя</t>
        </is>
      </c>
      <c r="G92" s="2" t="inlineStr">
        <is>
          <t>Billetto collects and pays the organiser within 3-5 working days after the event, with a statement of revenue and fees (bank may need a few more days). Early payout is a Growth-only extra.</t>
        </is>
      </c>
      <c r="H92" s="2" t="inlineStr">
        <is>
          <t>percent_plus_fixed</t>
        </is>
      </c>
      <c r="I92" s="2" t="inlineStr">
        <is>
          <t>• Essential: 3.99% +0.9 — Up to 1,000 tickets per year, no monthly fee, no setup — Billetto Advertising pay-per-sale add-on
• Growth: 3.99% +0.9 — Over 1,000 tickets per year; custom pricing 'or less' by meeting; early payment of most ticket revenue; manual ad campaigns; premium homepage eligibility; custom email marketing — Shown as '3.99% + 0.90 or less', no lower figure published</t>
        </is>
      </c>
      <c r="J92" s="2" t="inlineStr"/>
      <c r="K92" s="2" t="inlineStr">
        <is>
          <t>включён: True; свой процессинг: None; Visa, Mastercard, PayPal; included in the 3.99% + 0.90</t>
        </is>
      </c>
      <c r="L92" s="2" t="inlineStr">
        <is>
          <t>buyer (organiser may absorb and sell all-inclusive)</t>
        </is>
      </c>
      <c r="M92" s="2" t="inlineStr"/>
      <c r="N92" s="2" t="inlineStr"/>
      <c r="O92" s="2" t="inlineStr">
        <is>
          <t>3-5 working days after the event</t>
        </is>
      </c>
      <c r="P92" s="2" t="inlineStr">
        <is>
          <t>Organiser sets refund terms; booking fees can be refunded on request.</t>
        </is>
      </c>
      <c r="Q92" s="2" t="inlineStr">
        <is>
          <t>Fees and plan prices are stated excluding IVA ('IVA esclusa')</t>
        </is>
      </c>
      <c r="R92" s="2" t="inlineStr">
        <is>
          <t>• No minimum or cap per ticket stated
• POS: Adyen terminal EUR 199 + optional printer EUR 270, one-off; POS transaction fee not stated</t>
        </is>
      </c>
      <c r="S92" s="2" t="inlineStr">
        <is>
          <t>• {"name": "Billetto POS 2.0 terminal (Adyen)", "price": "EUR 199 one-off"}
• {"name": "Receipt printer", "price": "EUR 270 one-off"}</t>
        </is>
      </c>
      <c r="T92" s="2" t="inlineStr">
        <is>
          <t>Growth (&gt;1,000 tickets/year): custom pricing via meeting</t>
        </is>
      </c>
      <c r="U92" s="2" t="inlineStr">
        <is>
          <t>Pan-European self-serve ticketing with its own marketplace and POS; Italian-language site</t>
        </is>
      </c>
      <c r="V92" s="2" t="inlineStr">
        <is>
          <t>page</t>
        </is>
      </c>
      <c r="W92" s="2" t="inlineStr">
        <is>
          <t>https://go.billetto.com/it-it/pricing (Italy pricing page (via fetch summarizer); Google snippet confirms 3.99% + 0.90 'a carico dell'acquirente')</t>
        </is>
      </c>
    </row>
    <row r="93">
      <c r="A93" s="2" t="inlineStr">
        <is>
          <t>Южная Европа</t>
        </is>
      </c>
      <c r="B93" s="22" t="inlineStr">
        <is>
          <t>OOOH.Events</t>
        </is>
      </c>
      <c r="C93" s="2" t="inlineStr">
        <is>
          <t>https://oooh.events</t>
        </is>
      </c>
      <c r="D93" s="2" t="inlineStr">
        <is>
          <t>Italy</t>
        </is>
      </c>
      <c r="E93" s="2" t="inlineStr">
        <is>
          <t>EUR</t>
        </is>
      </c>
      <c r="F93" s="2" t="inlineStr">
        <is>
          <t>не выяснено</t>
        </is>
      </c>
      <c r="G93" s="2" t="inlineStr">
        <is>
          <t>Organiser-side payout terms are not stated on the tariff page.</t>
        </is>
      </c>
      <c r="H93" s="2" t="inlineStr">
        <is>
          <t>percent_plus_fixed</t>
        </is>
      </c>
      <c r="I93" s="2" t="inlineStr">
        <is>
          <t>• Online sales (all three tiers): 0.0% — Free for the organiser — Spectator pays EUR 0.90 + 5% of the amount, IVA included
• Onsite issuance (Premium / Standard / Urgent): +0.15 — Per ticket, paper included — EUR 0.15 Premium, EUR 0.25 Standard, EUR 0.50 Urgent; PDF pre-print by email 0.05 / 0.25 / 0.50; thermal pre-print 0.15 / 0.25</t>
        </is>
      </c>
      <c r="J93" s="2" t="inlineStr"/>
      <c r="K93" s="2" t="inlineStr"/>
      <c r="L93" s="2" t="inlineStr">
        <is>
          <t>buyer</t>
        </is>
      </c>
      <c r="M93" s="2" t="inlineStr"/>
      <c r="N93" s="2" t="inlineStr"/>
      <c r="O93" s="2" t="inlineStr"/>
      <c r="P93" s="2" t="inlineStr"/>
      <c r="Q93" s="2" t="inlineStr">
        <is>
          <t>Organiser prices are ex IVA; the spectator fee is IVA-included</t>
        </is>
      </c>
      <c r="R93" s="2" t="inlineStr">
        <is>
          <t>• Tier depends on publishing date and price rules: Premium needs publication 2+ weeks ahead and a higher onsite price (EUR 2 above online for tariffs under EUR 15, 15% above for EUR 15+); Urgent for events published 2 or fewer working days ahead
• Pre-print PDF: EUR 50 minimum billed, credit valid within the calendar year, invoice paid before issue
• Rentals: notebook / printer EUR 25 (Premium) or 50 (Standard) per month; handheld access-control EUR 25 per month; onsite activation EUR 100 on Standard</t>
        </is>
      </c>
      <c r="S93" s="2" t="inlineStr">
        <is>
          <t>• {"name": "Onsite activation and training", "price": "free Premium / EUR 100 Standard"}</t>
        </is>
      </c>
      <c r="T93" s="2" t="inlineStr"/>
      <c r="U93" s="2" t="inlineStr">
        <is>
          <t>Small Italian ticketing with onsite/box-office services and printed tickets</t>
        </is>
      </c>
      <c r="V93" s="2" t="inlineStr">
        <is>
          <t>page</t>
        </is>
      </c>
      <c r="W93" s="2" t="inlineStr">
        <is>
          <t>https://oooh.events/tariffe/ (tariff page (via fetch summarizer))</t>
        </is>
      </c>
    </row>
    <row r="94">
      <c r="A94" s="2" t="inlineStr">
        <is>
          <t>Южная Европа</t>
        </is>
      </c>
      <c r="B94" s="22" t="inlineStr">
        <is>
          <t>More.com (ex Viva.gr / Viva Event) - Teller platform</t>
        </is>
      </c>
      <c r="C94" s="2" t="inlineStr">
        <is>
          <t>https://www.more.com</t>
        </is>
      </c>
      <c r="D94" s="2" t="inlineStr">
        <is>
          <t>Greece (Cyprus similar via vivaevent.cy / More.com)</t>
        </is>
      </c>
      <c r="E94" s="2" t="inlineStr">
        <is>
          <t>EUR</t>
        </is>
      </c>
      <c r="F94" s="2" t="inlineStr">
        <is>
          <t>собирает на себя</t>
        </is>
      </c>
      <c r="G94" s="2" t="inlineStr">
        <is>
          <t>Inferred: card sales run through the More.com / Viva acquiring and the organiser is settled. Page names the Interchange++ settlement as 'the only cost'; who bears it is not stated and the buyer service fee is not mentioned. Payout timing not stated.</t>
        </is>
      </c>
      <c r="H94" s="2" t="inlineStr">
        <is>
          <t>mixed</t>
        </is>
      </c>
      <c r="I94" s="2" t="inlineStr">
        <is>
          <t>• Teller platform: 0.0% — Ticketing platform provided entirely free to partners; cash sales at own box office also free — Only cost: bank settlement for e-tickets sold through the More.com network on Viva's Interchange++ model, about 2.4% + EUR 0.24 per transaction (Viva 2.06% + ~0.34% variables such as issuer fee, scheme, card type)</t>
        </is>
      </c>
      <c r="J94" s="2" t="inlineStr"/>
      <c r="K94" s="2" t="inlineStr">
        <is>
          <t>включён: False; свой процессинг: None; Viva Wallet acquiring; Viva Interchange++: about 2.4% + EUR 0.24 per transaction on average</t>
        </is>
      </c>
      <c r="L94" s="2" t="inlineStr"/>
      <c r="M94" s="2" t="inlineStr"/>
      <c r="N94" s="2" t="inlineStr"/>
      <c r="O94" s="2" t="inlineStr"/>
      <c r="P94" s="2" t="inlineStr"/>
      <c r="Q94" s="2" t="inlineStr"/>
      <c r="R94" s="2" t="inlineStr">
        <is>
          <t>• Merchandise service has a separate charge (article 6407357, not read)
• Streaming via More.com exists (article 5772756, not read)</t>
        </is>
      </c>
      <c r="S94" s="2" t="inlineStr"/>
      <c r="T94" s="2" t="inlineStr"/>
      <c r="U94" s="2" t="inlineStr">
        <is>
          <t>Leading ticketing platform of Greece and Cyprus: about EUR 155m GTV, 7m+ tickets, 27,000 events in 2025; Alter Ego Media announced a 50.1% stake in March 2026. Organisers use the free 'Teller' platform</t>
        </is>
      </c>
      <c r="V94" s="2" t="inlineStr">
        <is>
          <t>page</t>
        </is>
      </c>
      <c r="W94" s="2" t="inlineStr">
        <is>
          <t>https://help-teller.more.com/el/articles/6145213-%CF%80%CE%BF%CE%B9%CE%BF-%CE%B5%CE%AF%CE%BD%CE%B1%CE%B9-%CF%84%CE%BF-%CE%BA%CF%8C%CF%83%CF%84%CE%BF%CF%82-%CF%83%CF%85%CE%BD%CE%B5%CF%81%CE%B3%CE%B1%CF%83%CE%AF%CE%B1%CF%82 (Greek help article 'what is the cost of cooperation', dated 2026-06-26)
https://www.tovima.com/finance/alter-ego-media-acquires-majority-stake-in-more-gr (ownership change and GTV (search summary))
https://cyprus-mail.com/2023/01/10/viva-services-expands-in-cyprus-with-vivaevent-cy (vivaevent.cy: Viva Services brand extension of viva.gr in Cyprus; organisers can also sell from own website at no extra cost (search summary))</t>
        </is>
      </c>
    </row>
    <row r="95">
      <c r="A95" s="2" t="inlineStr">
        <is>
          <t>Южная Европа</t>
        </is>
      </c>
      <c r="B95" s="22" t="inlineStr">
        <is>
          <t>Soldout Tickets (Cyprus) / other Cyprus options</t>
        </is>
      </c>
      <c r="C95" s="2" t="n"/>
      <c r="D95" s="2" t="inlineStr">
        <is>
          <t>Cyprus</t>
        </is>
      </c>
      <c r="E95" s="2" t="inlineStr">
        <is>
          <t>EUR</t>
        </is>
      </c>
      <c r="F95" s="2" t="inlineStr">
        <is>
          <t>не выяснено</t>
        </is>
      </c>
      <c r="G95" s="2" t="inlineStr">
        <is>
          <t>No platform called 'Soldout Tickets' in Cyprus could be found (the search returned an unrelated 'Sellout Tickets'). The verified Cyprus option is vivaevent.cy (Viva Services / More.com, see More.com entry). Klisto (reservation system with ticketing) exists but no fees were found.</t>
        </is>
      </c>
      <c r="H95" s="2" t="inlineStr">
        <is>
          <t>negotiated</t>
        </is>
      </c>
      <c r="I95" s="2" t="inlineStr"/>
      <c r="J95" s="2" t="inlineStr"/>
      <c r="K95" s="2" t="inlineStr"/>
      <c r="L95" s="2" t="inlineStr"/>
      <c r="M95" s="2" t="inlineStr"/>
      <c r="N95" s="2" t="inlineStr"/>
      <c r="O95" s="2" t="inlineStr"/>
      <c r="P95" s="2" t="inlineStr"/>
      <c r="Q95" s="2" t="inlineStr"/>
      <c r="R95" s="2" t="inlineStr"/>
      <c r="S95" s="2" t="inlineStr"/>
      <c r="T95" s="2" t="inlineStr"/>
      <c r="U95" s="2" t="inlineStr">
        <is>
          <t>Not verified</t>
        </is>
      </c>
      <c r="V95" s="2" t="inlineStr">
        <is>
          <t>snippet</t>
        </is>
      </c>
      <c r="W95" s="2" t="inlineStr">
        <is>
          <t>https://cyprus-mail.com/2023/01/10/viva-services-expands-in-cyprus-with-vivaevent-cy (vivaevent.cy launch (search summary))</t>
        </is>
      </c>
    </row>
    <row r="96">
      <c r="A96" s="2" t="inlineStr">
        <is>
          <t>Южная Европа</t>
        </is>
      </c>
      <c r="B96" s="22" t="inlineStr">
        <is>
          <t>ShowsHappening / ShowsManager (Malta)</t>
        </is>
      </c>
      <c r="C96" s="2" t="inlineStr">
        <is>
          <t>https://www.showshappening.com</t>
        </is>
      </c>
      <c r="D96" s="2" t="inlineStr">
        <is>
          <t>Malta</t>
        </is>
      </c>
      <c r="E96" s="2" t="inlineStr">
        <is>
          <t>EUR</t>
        </is>
      </c>
      <c r="F96" s="2" t="inlineStr">
        <is>
          <t>не выяснено</t>
        </is>
      </c>
      <c r="G96" s="2" t="inlineStr">
        <is>
          <t>Public site offers 'create an event and sell your tickets' via showsmanager.com but shows no fees. A 2013 MaltaToday column by a Maltese ticketing founder cited a 4% commission (old, unnamed company - not usable). TicketLane and TicketLine (Malta) exist but no organiser fees were found.</t>
        </is>
      </c>
      <c r="H96" s="2" t="inlineStr">
        <is>
          <t>negotiated</t>
        </is>
      </c>
      <c r="I96" s="2" t="inlineStr"/>
      <c r="J96" s="2" t="inlineStr"/>
      <c r="K96" s="2" t="inlineStr"/>
      <c r="L96" s="2" t="inlineStr"/>
      <c r="M96" s="2" t="inlineStr"/>
      <c r="N96" s="2" t="inlineStr"/>
      <c r="O96" s="2" t="inlineStr"/>
      <c r="P96" s="2" t="inlineStr"/>
      <c r="Q96" s="2" t="inlineStr"/>
      <c r="R96" s="2" t="inlineStr"/>
      <c r="S96" s="2" t="inlineStr"/>
      <c r="T96" s="2" t="inlineStr">
        <is>
          <t>Not public</t>
        </is>
      </c>
      <c r="U96" s="2" t="inlineStr">
        <is>
          <t>Malta's main ticketing platform for large shows since 2013 (per a third-party guide); organisers use ShowsManager</t>
        </is>
      </c>
      <c r="V96" s="2" t="inlineStr">
        <is>
          <t>snippet</t>
        </is>
      </c>
      <c r="W96" s="2" t="inlineStr">
        <is>
          <t>https://www.showshappening.com (organiser links only)
https://www.maltatoday.com.mt/business/business_comment/27466/stefan-debattista-step-right-up-and-get-your-tickets-here-20130610 (2013 column quoting a 4% commission (search summary))</t>
        </is>
      </c>
    </row>
    <row r="97">
      <c r="A97" s="2" t="inlineStr">
        <is>
          <t>Центр. и Вост. Европа, Балканы, Прибалтика</t>
        </is>
      </c>
      <c r="B97" s="22" t="inlineStr">
        <is>
          <t>GoOut (PLG group)</t>
        </is>
      </c>
      <c r="C97" s="2" t="inlineStr">
        <is>
          <t>https://goout.net</t>
        </is>
      </c>
      <c r="D97" s="2" t="inlineStr">
        <is>
          <t>Czechia</t>
        </is>
      </c>
      <c r="E97" s="2" t="inlineStr">
        <is>
          <t>CZK</t>
        </is>
      </c>
      <c r="F97" s="2" t="inlineStr">
        <is>
          <t>собирает на себя</t>
        </is>
      </c>
      <c r="G97" s="2" t="inlineStr">
        <is>
          <t>Platform collects the money from buyers and settles with the organizer after the event (general PLG practice; Ticketstream terms spell it out: payout within 5 working days of the settlement statement after the event). Fee is netted from the proceeds.</t>
        </is>
      </c>
      <c r="H97" s="2" t="inlineStr">
        <is>
          <t>percent</t>
        </is>
      </c>
      <c r="I97" s="2" t="inlineStr">
        <is>
          <t>• Standard organizer deal (not public): 8% мин 5 — Listing + online presale + network of sales points; marketing sold separately — Price list is 'neverejny' (not public). 8% / min 5 CZK per ticket is what an independent Czech comparison (verified with organizers, page updated 2026-02-22) lists; SMSticket's CEO says '8 percent is now common' (iROZHLAS 2026-05-12) and a founder says platforms charge 'about 7-8 percent' (Euro.cz 2026-03-25). PLG itself says there is no single model and refuses to publish fees.</t>
        </is>
      </c>
      <c r="J97" s="2" t="inlineStr"/>
      <c r="K97" s="2" t="inlineStr">
        <is>
          <t>включён: True; свой процессинг: None; not disclosed (PLG advertises up to 14 online payment methods at no extra charge); Processing cost is inside the platform fee/service fee; Ticketstream terms say fees the buyer does not accept are shifted to the organizer</t>
        </is>
      </c>
      <c r="L97" s="2" t="inlineStr">
        <is>
          <t>buyer + organizer (both): organizer pays commission, buyer pays a separate service fee</t>
        </is>
      </c>
      <c r="M97" s="2" t="inlineStr"/>
      <c r="N97" s="2" t="inlineStr"/>
      <c r="O97" s="2" t="inlineStr">
        <is>
          <t>After the event (collecting model). No public detail for GoOut itself; an independent comparison table says GoOut does NOT pay advances ('vyplata zaloh: ne').</t>
        </is>
      </c>
      <c r="P97" s="2" t="inlineStr"/>
      <c r="Q97" s="2" t="inlineStr">
        <is>
          <t>organizer commission rate quoted as a plain percentage of ticket price; VAT treatment on the commission not stated publicly</t>
        </is>
      </c>
      <c r="R97" s="2" t="inlineStr">
        <is>
          <t>• Buyer service fee: 3.5% of ticket price, minimum 10 CZK / 0.40 EUR and maximum 500 CZK / 20 EUR per ticket, 'unless GoOut sets otherwise' (GoOut terms, updated 2026-01-07)
• Axima comparison: 4 tickets x 50 CZK = 200 CZK -&gt; organizer fee 20 CZK (min 5 CZK/ticket), buyer fee 40 CZK; 4 x 600 CZK -&gt; organizer 192 CZK, buyer 84 CZK; total take 11.5% (60 CZK / 276 CZK)
• Comparison table also says: no ticket security (no digital signature), start of sales takes 1-2 days, event cannot be edited by organizer after publishing, limited organizer data
• Czech market criticism (iROZHLAS 2026-05-12): after PLG merged GoOut + Ticketportal + Ticketstream the buyer fee jumped to a flat 3.5% (from about 15 CZK), organizer commission 'commonly 8%'</t>
        </is>
      </c>
      <c r="S97" s="2" t="inlineStr">
        <is>
          <t>• {"name": "marketing, newsletters, social, cashless, apps, CRM, onsite POS (PLG organizer site)", "price": "not public"}</t>
        </is>
      </c>
      <c r="T97" s="2" t="inlineStr">
        <is>
          <t>Contact sales; no public price list</t>
        </is>
      </c>
      <c r="U97" s="2" t="inlineStr">
        <is>
          <t>Largest Czech/Slovak event discovery + ticketing network, club/concert/theatre/festival organizers of every size; owned by Estonian PLG together with Ticketportal and Ticketstream</t>
        </is>
      </c>
      <c r="V97" s="2" t="inlineStr">
        <is>
          <t>third_party</t>
        </is>
      </c>
      <c r="W97" s="2" t="inlineStr">
        <is>
          <t>https://www.axima-brno.cz/jak-vybrat-system-pro-prodej-vstupenek.html (third-party comparison table of organizer + buyer fees (updated 2026-02-22; the author AXIMA also makes smsticket))
https://terms.goout.net/article/456-poplatky (GoOut official buyer service fee article)
https://www.irozhlas.cz/ekonomika/vstupenky-na-nejruznejsi-akce-zdrazuji-muze-za-spojeni-tri-velkych-hracu-pod-plg_2605121213_ako (news article quoting fees)
https://www.euro.cz/clanky/kdo-vydelava-na-vstupenkach-rostouci-poplatky-nekterych-ticketingovych-platforem-muzou-byt-pro-poradatele-problem/ (news article quoting fees and PLG response)</t>
        </is>
      </c>
    </row>
    <row r="98">
      <c r="A98" s="2" t="inlineStr">
        <is>
          <t>Центр. и Вост. Европа, Балканы, Прибалтика</t>
        </is>
      </c>
      <c r="B98" s="22" t="inlineStr">
        <is>
          <t>Ticketportal (PLG group)</t>
        </is>
      </c>
      <c r="C98" s="2" t="inlineStr">
        <is>
          <t>https://www.ticketportal.cz</t>
        </is>
      </c>
      <c r="D98" s="2" t="inlineStr">
        <is>
          <t>Czechia</t>
        </is>
      </c>
      <c r="E98" s="2" t="inlineStr">
        <is>
          <t>CZK</t>
        </is>
      </c>
      <c r="F98" s="2" t="inlineStr">
        <is>
          <t>собирает на себя</t>
        </is>
      </c>
      <c r="G98" s="2" t="inlineStr">
        <is>
          <t>Network sells in the organizer's name but takes the buyer's money and settles after the event (framework terms); fee netted from proceeds.</t>
        </is>
      </c>
      <c r="H98" s="2" t="inlineStr">
        <is>
          <t>percent</t>
        </is>
      </c>
      <c r="I98" s="2" t="inlineStr">
        <is>
          <t>• Standard organizer deal (not public): 8% мин 5 — online presale, retail network, marketing optional — Not public ('neverejny'). Independent comparison and iROZHLAS give 8% for the organizer; PLG states fees depend on size, frequency, cashless use and marketing agency work. Buyer service fee 3.5% min 10 CZK per ticket per the same comparison.</t>
        </is>
      </c>
      <c r="J98" s="2" t="inlineStr"/>
      <c r="K98" s="2" t="inlineStr">
        <is>
          <t>включён: True; свой процессинг: None; 14 online methods per PLG</t>
        </is>
      </c>
      <c r="L98" s="2" t="inlineStr">
        <is>
          <t>buyer + organizer (commission + separate buyer service fee)</t>
        </is>
      </c>
      <c r="M98" s="2" t="inlineStr"/>
      <c r="N98" s="2" t="inlineStr"/>
      <c r="O98" s="2" t="inlineStr">
        <is>
          <t>Comparison table: no advance payouts; no ticket security; sales start in 1-2 days; no later edits by organizer</t>
        </is>
      </c>
      <c r="P98" s="2" t="inlineStr"/>
      <c r="Q98" s="2" t="inlineStr">
        <is>
          <t>not stated</t>
        </is>
      </c>
      <c r="R98" s="2" t="inlineStr">
        <is>
          <t>• Organizer portal (poradatel.ticketportal.cz) lists services (marketplace, full presale, POS, cashless, CRM, SSO, payment ecosystem, scanning system) with no prices; settlement report after the event is free
• Contact-only pricing</t>
        </is>
      </c>
      <c r="S98" s="2" t="inlineStr">
        <is>
          <t>• {"name": "marketing packages, cashless, apps, CRM", "price": "not public"}</t>
        </is>
      </c>
      <c r="T98" s="2" t="inlineStr">
        <is>
          <t>Contact sales</t>
        </is>
      </c>
      <c r="U98" s="2" t="inlineStr">
        <is>
          <t>Large Czech/Slovak network with ~400 shops and Tipsport/Sazka pickup points; theatres, stadiums, concerts, big promoters</t>
        </is>
      </c>
      <c r="V98" s="2" t="inlineStr">
        <is>
          <t>third_party</t>
        </is>
      </c>
      <c r="W98" s="2" t="inlineStr">
        <is>
          <t>https://www.axima-brno.cz/jak-vybrat-system-pro-prodej-vstupenek.html (third-party comparison)
https://poradatel.ticketportal.cz/cz (PLG organizer site (no prices))
https://poradatel.ticketportal.cz/cz/vyuctovani-a-report (settlement report free after event)
https://www.irozhlas.cz/ekonomika/vstupenky-na-nejruznejsi-akce-zdrazuji-muze-za-spojeni-tri-velkych-hracu-pod-plg_2605121213_ako (news quoting 8%)</t>
        </is>
      </c>
    </row>
    <row r="99">
      <c r="A99" s="2" t="inlineStr">
        <is>
          <t>Центр. и Вост. Европа, Балканы, Прибалтика</t>
        </is>
      </c>
      <c r="B99" s="22" t="inlineStr">
        <is>
          <t>Ticketportal (PLG group)</t>
        </is>
      </c>
      <c r="C99" s="2" t="inlineStr">
        <is>
          <t>https://www.ticketportal.cz</t>
        </is>
      </c>
      <c r="D99" s="2" t="inlineStr">
        <is>
          <t>Slovakia</t>
        </is>
      </c>
      <c r="E99" s="2" t="inlineStr">
        <is>
          <t>EUR</t>
        </is>
      </c>
      <c r="F99" s="2" t="inlineStr">
        <is>
          <t>собирает на себя</t>
        </is>
      </c>
      <c r="G99" s="2" t="inlineStr">
        <is>
          <t>Same PLG framework as CZ (Ticketportal SK).</t>
        </is>
      </c>
      <c r="H99" s="2" t="inlineStr">
        <is>
          <t>percent</t>
        </is>
      </c>
      <c r="I99" s="2" t="inlineStr"/>
      <c r="J99" s="2" t="inlineStr"/>
      <c r="K99" s="2" t="inlineStr"/>
      <c r="L99" s="2" t="inlineStr">
        <is>
          <t>buyer + organizer</t>
        </is>
      </c>
      <c r="M99" s="2" t="inlineStr"/>
      <c r="N99" s="2" t="inlineStr"/>
      <c r="O99" s="2" t="inlineStr"/>
      <c r="P99" s="2" t="inlineStr"/>
      <c r="Q99" s="2" t="inlineStr"/>
      <c r="R99" s="2" t="inlineStr">
        <is>
          <t>• No Slovak-specific public price found. A sponsored SMSticket advertorial (Deník, 2025-09-08) tagged Ticketportal SK compares buyer fee for 2 tickets totalling 800 CZK: GoOut 20 CZK, Ticketportal 18 CZK, Ticketstream 24 CZK vs smsticket 10 CZK (this is before the 3.5% flat fee reported in 2026)</t>
        </is>
      </c>
      <c r="S99" s="2" t="inlineStr"/>
      <c r="T99" s="2" t="inlineStr">
        <is>
          <t>Contact sales</t>
        </is>
      </c>
      <c r="U99" s="2" t="inlineStr">
        <is>
          <t>Large Czech/Slovak network with ~400 shops and Tipsport/Sazka pickup points; theatres, stadiums, concerts, big promoters</t>
        </is>
      </c>
      <c r="V99" s="2" t="inlineStr">
        <is>
          <t>third_party</t>
        </is>
      </c>
      <c r="W99" s="2" t="inlineStr">
        <is>
          <t>https://pr.denik.cz/doporucujeme/vite-kdo-ma-nejnizsi-poplatky-za-vstupenky/ (sponsored advertorial by smsticket (biased))</t>
        </is>
      </c>
    </row>
    <row r="100">
      <c r="A100" s="2" t="inlineStr">
        <is>
          <t>Центр. и Вост. Европа, Балканы, Прибалтика</t>
        </is>
      </c>
      <c r="B100" s="22" t="inlineStr">
        <is>
          <t>Ticketstream (PLG group)</t>
        </is>
      </c>
      <c r="C100" s="2" t="inlineStr">
        <is>
          <t>https://www.ticketstream.cz</t>
        </is>
      </c>
      <c r="D100" s="2" t="inlineStr">
        <is>
          <t>Czechia</t>
        </is>
      </c>
      <c r="E100" s="2" t="inlineStr">
        <is>
          <t>CZK</t>
        </is>
      </c>
      <c r="F100" s="2" t="inlineStr">
        <is>
          <t>собирает на себя</t>
        </is>
      </c>
      <c r="G100" s="2" t="inlineStr">
        <is>
          <t>Organizer authorises the network to collect ticket price + all service fees from buyers; payout after the event within 5 working days of the post-event statement; advance payout only against a guarantor and only above 100,000 CZK net, max 70% of takings.</t>
        </is>
      </c>
      <c r="H100" s="2" t="inlineStr">
        <is>
          <t>percent</t>
        </is>
      </c>
      <c r="I100" s="2" t="inlineStr">
        <is>
          <t>• Default remuneration (organizer terms eff. 2022-11-01): 10% — presale via ticketstream.cz and partner network — 10% of final customer price unless the order says otherwise. Minimum remuneration per event order 3,000 CZK unless agreed otherwise. Independent comparison also lists 10% and 'min 5 CZK/ticket' style examples (4 tickets x 50 CZK = 20 CZK; 4 x 600 CZK = 240 CZK) with buyer fee 3.5% (min 10 CZK).</t>
        </is>
      </c>
      <c r="J100" s="2" t="inlineStr"/>
      <c r="K100" s="2" t="inlineStr">
        <is>
          <t>включён: False; свой процессинг: None; Terms: if the organizer disagrees with fees charged to the buyer (distribution fee, payment gateway fees, service fee) those fees are shifted onto the organizer</t>
        </is>
      </c>
      <c r="L100" s="2" t="inlineStr">
        <is>
          <t>configurable (organizer remuneration is deducted; service fee may be paid by buyer)</t>
        </is>
      </c>
      <c r="M100" s="2" t="inlineStr"/>
      <c r="N100" s="2" t="inlineStr"/>
      <c r="O100" s="2" t="inlineStr">
        <is>
          <t>After the event, within 5 working days of the settlement statement; invoices issued by end of the month; organizer pays any invoice within 5 working days unless netted; platform may hold funds if it fears refund claims; may refuse payout for postponed events without a new date; bank costs on EU transfers on organizer, non-EU payments 1,000 CZK handling per payment</t>
        </is>
      </c>
      <c r="P100" s="2" t="inlineStr">
        <is>
          <t>If organizer asks the network to run refunds: organizer must return all already-paid proceeds AND pay a refund fee equal to the agreed commission/service fee, minimum 30 CZK per ticket. Organizer bears chargeback costs and payment-provider claims. Service fee on refunded tickets is passed to the organizer when remuneration was agreed as a service fee.</t>
        </is>
      </c>
      <c r="Q100" s="2" t="inlineStr">
        <is>
          <t>organizer terms do not state whether remuneration is net or gross of VAT; settlement statement is a tax document</t>
        </is>
      </c>
      <c r="R100" s="2" t="inlineStr">
        <is>
          <t>• Fee for transferring a running presale from one organizer to another: 5,000 CZK per event (needs notarised agreement)
• Non-resident organizers must register for Czech income tax; platform may withhold taxes
• Contract penalties up to the amount of the platform remuneration for certain breaches (selling cheaper elsewhere etc.); the terms also penalise disadvantaging buyers who purchase through this network (e.g. cheaper tickets elsewhere)
• Terms are dated 2022 and may have been superseded by PLG's current deals; the live price list is not published</t>
        </is>
      </c>
      <c r="S100" s="2" t="inlineStr"/>
      <c r="T100" s="2" t="inlineStr">
        <is>
          <t>Order-specific terms</t>
        </is>
      </c>
      <c r="U100" s="2" t="inlineStr">
        <is>
          <t>Czech network, festivals and promoters; PUBLISHES organizer terms (rare in the market)</t>
        </is>
      </c>
      <c r="V100" s="2" t="inlineStr">
        <is>
          <t>page</t>
        </is>
      </c>
      <c r="W100" s="2" t="inlineStr">
        <is>
          <t>https://www.ticketstream.cz/stranka/obchodni-podminky-poradatele (organizer terms effective 2022-11-01 (payment terms section IV, refunds V))
https://www.axima-brno.cz/jak-vybrat-system-pro-prodej-vstupenek.html (third-party comparison)</t>
        </is>
      </c>
    </row>
    <row r="101">
      <c r="A101" s="2" t="inlineStr">
        <is>
          <t>Центр. и Вост. Европа, Балканы, Прибалтика</t>
        </is>
      </c>
      <c r="B101" s="22" t="inlineStr">
        <is>
          <t>smsticket</t>
        </is>
      </c>
      <c r="C101" s="2" t="inlineStr">
        <is>
          <t>https://www.smsticket.cz</t>
        </is>
      </c>
      <c r="D101" s="2" t="inlineStr">
        <is>
          <t>Czechia</t>
        </is>
      </c>
      <c r="E101" s="2" t="inlineStr">
        <is>
          <t>CZK</t>
        </is>
      </c>
      <c r="F101" s="2" t="inlineStr">
        <is>
          <t>собирает на себя</t>
        </is>
      </c>
      <c r="G101" s="2" t="inlineStr">
        <is>
          <t>smsticket collects buyer payments (payment gateway costs are inside its 5%) and sends the takings to the organizer's account within 24 hours of the organizer requesting payout ('Trzby si vyplatite sami, my je odesilame do 24 hodin'); it also issues tax documents per purchase. So money passes through smsticket but with rolling, near-immediate payout, not post-event.</t>
        </is>
      </c>
      <c r="H101" s="2" t="inlineStr">
        <is>
          <t>percent</t>
        </is>
      </c>
      <c r="I101" s="2" t="inlineStr">
        <is>
          <t>• Standard: 5% мин 5 — all platform features, payment gateway costs, all payment methods, physical sales points cost, affiliate partner rewards, online + POS sales, new features free forever — 5% is 'maximum and final' for organizers; no exclusivity, no sanctions, no minimum tickets/prices. 'Minimalni provize pri prodeji na pokladne cini 5 Kc z jedne vstupenky' (min 5 CZK per ticket at the box office).
• Reduced: 4% — same as Standard — Charity events, children's sport, non-commercial/educational events, individual deals, large events where smsticket is exclusive seller. Large events / culture houses can get 'even better terms' by e-mail.</t>
        </is>
      </c>
      <c r="J101" s="2" t="inlineStr"/>
      <c r="K101" s="2" t="inlineStr">
        <is>
          <t>включён: True; свой процессинг: False; not named (payment gateway, all methods); All payment-gateway fees are included in the 5%</t>
        </is>
      </c>
      <c r="L101" s="2" t="inlineStr">
        <is>
          <t>organizer pays 5%; buyer pays a flat service fee per ORDER</t>
        </is>
      </c>
      <c r="M101" s="2" t="inlineStr"/>
      <c r="N101" s="2" t="inlineStr">
        <is>
          <t>Seat plans (mistenkove planky) supported at no extra listed price (reference: Kulturni centrum Ceska Trebova)</t>
        </is>
      </c>
      <c r="O101" s="2" t="inlineStr">
        <is>
          <t>Within 24 hours of the organizer's payout request; per-event statement, monthly cost report, tax documents; advance payout of sales possible ('vyplata zaloh: ano' in comparison table)</t>
        </is>
      </c>
      <c r="P101" s="2" t="inlineStr"/>
      <c r="Q101" s="2" t="inlineStr">
        <is>
          <t>prices not labelled; 5% 'provize' invoiced to organizer; not stated whether VAT is added</t>
        </is>
      </c>
      <c r="R101" s="2" t="inlineStr">
        <is>
          <t>• Buyer fee: flat 10 CZK per whole online order (not per ticket); payments by card, bank transfer, Apple Pay
• Extra paid one-off services: targeted ad campaigns, hardware rental (scanners), onsite staffing / check-in help, service intervention on the till; price list is in the help-centre article 'Extra sluzby' (not opened)
• Digital signature on every ticket; scanning with free 'smsticket Brana' app; professional scanners lent for big events
• Website says 'no flat fees'; 'Zdarma a bez registrace' to try event creation</t>
        </is>
      </c>
      <c r="S101" s="2" t="inlineStr">
        <is>
          <t>• {"name": "targeted ad campaigns", "price": "paid, not listed on the pages read"}
• {"name": "scanner hardware rental, onsite staff, payment terminals", "price": "paid, not listed on the pages read"}</t>
        </is>
      </c>
      <c r="T101" s="2" t="inlineStr">
        <is>
          <t>poradatel@smsticket.cz for big events, culture houses, charities</t>
        </is>
      </c>
      <c r="U101" s="2" t="inlineStr">
        <is>
          <t>Independent Czech self-service ticketing for clubs, festivals, culture houses, balls, charities; positions itself as the cheapest and anti-PLG, 5,958 organizers; owned by software house AXIMA</t>
        </is>
      </c>
      <c r="V101" s="2" t="inlineStr">
        <is>
          <t>page</t>
        </is>
      </c>
      <c r="W101" s="2" t="inlineStr">
        <is>
          <t>https://www.smsticket.cz/pro-poradatele (organizer landing page)
https://www.smsticket.cz/pro-poradatele/finance (finance page)
https://smsticket.zendesk.com/hc/cs/articles/26620027048594-Jak%C3%A9-jsou-poplatky-z-prodeje-vstupenek (help centre fee article (2025-08-18))
https://pr.denik.cz/doporucujeme/vite-kdo-ma-nejnizsi-poplatky-za-vstupenky/ (sponsored article: buyer fee 10 CZK per order, charity 4%)</t>
        </is>
      </c>
    </row>
    <row r="102">
      <c r="A102" s="2" t="inlineStr">
        <is>
          <t>Центр. и Вост. Европа, Балканы, Прибалтика</t>
        </is>
      </c>
      <c r="B102" s="22" t="inlineStr">
        <is>
          <t>Ticketlive (Ticketlive PRO s.r.o.)</t>
        </is>
      </c>
      <c r="C102" s="2" t="inlineStr">
        <is>
          <t>https://www.ticketlive.cz</t>
        </is>
      </c>
      <c r="D102" s="2" t="inlineStr">
        <is>
          <t>Czechia</t>
        </is>
      </c>
      <c r="E102" s="2" t="inlineStr">
        <is>
          <t>CZK</t>
        </is>
      </c>
      <c r="F102" s="2" t="inlineStr">
        <is>
          <t>собирает на себя</t>
        </is>
      </c>
      <c r="G102" s="2" t="inlineStr">
        <is>
          <t>Commission-agency agreement: Ticketlive sells in organizer's name, collects the money and refunds buyers only after receiving funds from the organizer.</t>
        </is>
      </c>
      <c r="H102" s="2" t="inlineStr">
        <is>
          <t>negotiated</t>
        </is>
      </c>
      <c r="I102" s="2" t="inlineStr"/>
      <c r="J102" s="2" t="inlineStr"/>
      <c r="K102" s="2" t="inlineStr">
        <is>
          <t>включён: None; свой процессинг: None; GoPay; card payments via GoPay may carry a surcharge shown at checkout</t>
        </is>
      </c>
      <c r="L102" s="2" t="inlineStr">
        <is>
          <t>buyer pays a 'distribution fee' / processing fee added to ticket price unless stated otherwise (clause 4.5.1 of buyer terms); amount shown at checkout</t>
        </is>
      </c>
      <c r="M102" s="2" t="inlineStr"/>
      <c r="N102" s="2" t="inlineStr"/>
      <c r="O102" s="2" t="inlineStr"/>
      <c r="P102" s="2" t="inlineStr">
        <is>
          <t>Exchange fee as % of ticket price per service price list (amount not stated); refunds on organizer's instruction</t>
        </is>
      </c>
      <c r="Q102" s="2" t="inlineStr"/>
      <c r="R102" s="2" t="inlineStr">
        <is>
          <t>• No commission rate published; contact sales@ticketlive.cz</t>
        </is>
      </c>
      <c r="S102" s="2" t="inlineStr">
        <is>
          <t>• {"name": "accreditation, cashless, POS, printing, outdoor advertising, merchandise, PR", "price": "not public"}</t>
        </is>
      </c>
      <c r="T102" s="2" t="inlineStr">
        <is>
          <t>Contact sales</t>
        </is>
      </c>
      <c r="U102" s="2" t="inlineStr">
        <is>
          <t>Czech/Slovak commission-agent network (90 points of sale), clubs, concerts, sports, festivals, cashless wristbands</t>
        </is>
      </c>
      <c r="V102" s="2" t="inlineStr">
        <is>
          <t>page</t>
        </is>
      </c>
      <c r="W102" s="2" t="inlineStr">
        <is>
          <t>https://www.ticketlive.cz/cs/page/vseobecne-obchodni-podminky (buyer T&amp;Cs)
https://www.ticketlive.cz/cs/page/spoluprace (organizer cooperation page)
https://www.ticketlive.cz/cs/page/nase-sluzby (service list)</t>
        </is>
      </c>
    </row>
    <row r="103">
      <c r="A103" s="2" t="inlineStr">
        <is>
          <t>Центр. и Вост. Европа, Балканы, Прибалтика</t>
        </is>
      </c>
      <c r="B103" s="22" t="inlineStr">
        <is>
          <t>Kupvstupenku.cz (Savage Company s.r.o.)</t>
        </is>
      </c>
      <c r="C103" s="2" t="inlineStr">
        <is>
          <t>https://www.kupvstupenku.cz</t>
        </is>
      </c>
      <c r="D103" s="2" t="inlineStr">
        <is>
          <t>Czechia</t>
        </is>
      </c>
      <c r="E103" s="2" t="inlineStr">
        <is>
          <t>CZK</t>
        </is>
      </c>
      <c r="F103" s="2" t="inlineStr">
        <is>
          <t>собирает на себя</t>
        </is>
      </c>
      <c r="G103" s="2" t="inlineStr">
        <is>
          <t>Portal operator takes card payments (GP webpay) and refunds cancelled events on written request to the operator (inferred collecting).</t>
        </is>
      </c>
      <c r="H103" s="2" t="inlineStr">
        <is>
          <t>percent</t>
        </is>
      </c>
      <c r="I103" s="2" t="inlineStr"/>
      <c r="J103" s="2" t="inlineStr"/>
      <c r="K103" s="2" t="inlineStr">
        <is>
          <t>включён: None; свой процессинг: None; GP webpay</t>
        </is>
      </c>
      <c r="L103" s="2" t="inlineStr"/>
      <c r="M103" s="2" t="inlineStr"/>
      <c r="N103" s="2" t="inlineStr"/>
      <c r="O103" s="2" t="inlineStr"/>
      <c r="P103" s="2" t="inlineStr">
        <is>
          <t>Cancelled event: ticket price refunded on request</t>
        </is>
      </c>
      <c r="Q103" s="2" t="inlineStr"/>
      <c r="R103" s="2" t="inlineStr">
        <is>
          <t>• No fee numbers on terms page; contact info@kupvstupenku.cz</t>
        </is>
      </c>
      <c r="S103" s="2" t="inlineStr"/>
      <c r="T103" s="2" t="inlineStr">
        <is>
          <t>Contact</t>
        </is>
      </c>
      <c r="U103" s="2" t="inlineStr">
        <is>
          <t>Regional portal for Nachod area; sells through eVstupenka + GP webpay</t>
        </is>
      </c>
      <c r="V103" s="2" t="inlineStr">
        <is>
          <t>page</t>
        </is>
      </c>
      <c r="W103" s="2" t="inlineStr">
        <is>
          <t>https://www.kupvstupenku.cz/obchodni-podminky (T&amp;Cs)</t>
        </is>
      </c>
    </row>
    <row r="104">
      <c r="A104" s="2" t="inlineStr">
        <is>
          <t>Центр. и Вост. Европа, Балканы, Прибалтика</t>
        </is>
      </c>
      <c r="B104" s="22" t="inlineStr">
        <is>
          <t>Czech platforms not retrievable</t>
        </is>
      </c>
      <c r="C104" s="2" t="n"/>
      <c r="D104" s="2" t="inlineStr">
        <is>
          <t>Czechia</t>
        </is>
      </c>
      <c r="E104" s="2" t="inlineStr">
        <is>
          <t>CZK</t>
        </is>
      </c>
      <c r="F104" s="2" t="inlineStr">
        <is>
          <t>не выяснено</t>
        </is>
      </c>
      <c r="G104" s="2" t="inlineStr"/>
      <c r="H104" s="2" t="n"/>
      <c r="I104" s="2" t="inlineStr"/>
      <c r="J104" s="2" t="inlineStr"/>
      <c r="K104" s="2" t="inlineStr"/>
      <c r="L104" s="2" t="inlineStr"/>
      <c r="M104" s="2" t="inlineStr"/>
      <c r="N104" s="2" t="inlineStr"/>
      <c r="O104" s="2" t="inlineStr"/>
      <c r="P104" s="2" t="inlineStr"/>
      <c r="Q104" s="2" t="inlineStr"/>
      <c r="R104" s="2" t="inlineStr">
        <is>
          <t>• No public organizer pricing found for Vstupenky.cz, Eventim CZ (eventim.cz imprint only), Mujkoncert
• Ticket Art (a Czech network) went bankrupt in autumn 2021 (Hospodarske noviny archive) - not an active competitor
• Ticketpro: only a 2013 forum post mentions a 1% affiliate commission; not an organizer price</t>
        </is>
      </c>
      <c r="S104" s="2" t="inlineStr"/>
      <c r="T104" s="2" t="inlineStr">
        <is>
          <t>Contact sales</t>
        </is>
      </c>
      <c r="U104" s="2" t="inlineStr">
        <is>
          <t>Vstupenky.cz, Eventim CZ, Mujkoncert, Ticketon (Ticketon is Kazakhstan, not Czech), Ticket Art/PLG</t>
        </is>
      </c>
      <c r="V104" s="2" t="inlineStr">
        <is>
          <t>snippet</t>
        </is>
      </c>
      <c r="W104" s="2" t="inlineStr">
        <is>
          <t>https://archiv.hn.cz/c1-67864220-poplatky-za-listky-do-divadla-nebo-na-koncert-rostou-poradatele-kulturnich-akci-ukazuji-na-noveho-silneho-hrace-na-trhu (HN article (paywalled; Ticket Art bankruptcy context))</t>
        </is>
      </c>
    </row>
    <row r="105">
      <c r="A105" s="2" t="inlineStr">
        <is>
          <t>Центр. и Вост. Европа, Балканы, Прибалтика</t>
        </is>
      </c>
      <c r="B105" s="22" t="inlineStr">
        <is>
          <t>Inviton</t>
        </is>
      </c>
      <c r="C105" s="2" t="inlineStr">
        <is>
          <t>https://www.inviton.sk</t>
        </is>
      </c>
      <c r="D105" s="2" t="inlineStr">
        <is>
          <t>Slovakia</t>
        </is>
      </c>
      <c r="E105" s="2" t="inlineStr">
        <is>
          <t>EUR</t>
        </is>
      </c>
      <c r="F105" s="2" t="inlineStr">
        <is>
          <t>собирает на себя</t>
        </is>
      </c>
      <c r="G105" s="2" t="inlineStr">
        <is>
          <t>Buyers pay through 24-pay gateway; settlement protocol arrives the first Monday after the event, organizer has one week to confirm, then payout the following Monday.</t>
        </is>
      </c>
      <c r="H105" s="2" t="inlineStr">
        <is>
          <t>percent_plus_fixed</t>
        </is>
      </c>
      <c r="I105" s="2" t="inlineStr">
        <is>
          <t>• Standard: 5% мин 0.6 — all payment gateway costs; event creation free; no hidden fees; lower fee on request for volume — '5% of ticket price, minimum 0.60 EUR per sold ticket'; interaction of min and % on cheap tickets not explained. Paid plans exist for support and extended features (not detailed).</t>
        </is>
      </c>
      <c r="J105" s="2" t="inlineStr"/>
      <c r="K105" s="2" t="inlineStr">
        <is>
          <t>включён: True; свой процессинг: False; 24-pay (cards, internet banking, transfer); PayPal optional surcharge 3.6% charged to the BUYER</t>
        </is>
      </c>
      <c r="L105" s="2" t="inlineStr">
        <is>
          <t>organizer</t>
        </is>
      </c>
      <c r="M105" s="2" t="inlineStr">
        <is>
          <t>Free ticket sales can be switched on but come without technical support</t>
        </is>
      </c>
      <c r="N105" s="2" t="inlineStr"/>
      <c r="O105" s="2" t="inlineStr">
        <is>
          <t>Post-event: protocol first Monday after event, payout next Monday after confirmation</t>
        </is>
      </c>
      <c r="P105" s="2" t="inlineStr">
        <is>
          <t>Refunds only with organizer's approval, returned to the paying account; no refund fee stated</t>
        </is>
      </c>
      <c r="Q105" s="2" t="inlineStr">
        <is>
          <t>not stated</t>
        </is>
      </c>
      <c r="R105" s="2" t="inlineStr">
        <is>
          <t>• Volume discounts individual (number of events, capacity, price)</t>
        </is>
      </c>
      <c r="S105" s="2" t="inlineStr"/>
      <c r="T105" s="2" t="inlineStr">
        <is>
          <t>Lower fee for bigger volume on request</t>
        </is>
      </c>
      <c r="U105" s="2" t="inlineStr">
        <is>
          <t>Self-service ticketing/registration for any event type in SK and CZ; clubs, festivals, conferences</t>
        </is>
      </c>
      <c r="V105" s="2" t="inlineStr">
        <is>
          <t>page</t>
        </is>
      </c>
      <c r="W105" s="2" t="inlineStr">
        <is>
          <t>https://www.inviton.sk/online-predaj-vstupeniek (product page)
https://www.inviton.sk/faq-sk (FAQ with payouts and fee)</t>
        </is>
      </c>
    </row>
    <row r="106">
      <c r="A106" s="2" t="inlineStr">
        <is>
          <t>Центр. и Вост. Европа, Балканы, Прибалтика</t>
        </is>
      </c>
      <c r="B106" s="22" t="inlineStr">
        <is>
          <t>Predpredaj.sk (Zoznam)</t>
        </is>
      </c>
      <c r="C106" s="2" t="inlineStr">
        <is>
          <t>https://predpredaj.zoznam.sk</t>
        </is>
      </c>
      <c r="D106" s="2" t="inlineStr">
        <is>
          <t>Slovakia</t>
        </is>
      </c>
      <c r="E106" s="2" t="inlineStr">
        <is>
          <t>EUR</t>
        </is>
      </c>
      <c r="F106" s="2" t="inlineStr">
        <is>
          <t>собирает на себя</t>
        </is>
      </c>
      <c r="G106" s="2" t="inlineStr">
        <is>
          <t>Framework contracts ('ramcova zmluva') with organizers; platform collects (inferred from public framework contracts, scans not readable).</t>
        </is>
      </c>
      <c r="H106" s="2" t="inlineStr">
        <is>
          <t>negotiated</t>
        </is>
      </c>
      <c r="I106" s="2" t="inlineStr"/>
      <c r="J106" s="2" t="inlineStr"/>
      <c r="K106" s="2" t="inlineStr"/>
      <c r="L106" s="2" t="inlineStr">
        <is>
          <t>buyer pays separate fees per contract wording ('osobitne poplatky pre uzivatelov systemu')</t>
        </is>
      </c>
      <c r="M106" s="2" t="inlineStr"/>
      <c r="N106" s="2" t="inlineStr"/>
      <c r="O106" s="2" t="inlineStr"/>
      <c r="P106" s="2" t="inlineStr"/>
      <c r="Q106" s="2" t="inlineStr"/>
      <c r="R106" s="2" t="inlineStr">
        <is>
          <t>• Cooperation page: 'individual conditions are subject to reciprocal agreements', contact obchod@predpredaj.sk
• Public contracts published on uradne.sk / pmza.sk exist but are scanned images with no text layer (not read)</t>
        </is>
      </c>
      <c r="S106" s="2" t="inlineStr"/>
      <c r="T106" s="2" t="inlineStr">
        <is>
          <t>Contact sales only</t>
        </is>
      </c>
      <c r="U106" s="2" t="inlineStr">
        <is>
          <t>Largest independent Slovak network, concerts/theatre/sport, retail shops</t>
        </is>
      </c>
      <c r="V106" s="2" t="inlineStr">
        <is>
          <t>page</t>
        </is>
      </c>
      <c r="W106" s="2" t="inlineStr">
        <is>
          <t>https://predpredaj.zoznam.sk/sk/stranka/spolupraca/ (cooperation page, no prices)</t>
        </is>
      </c>
    </row>
    <row r="107">
      <c r="A107" s="2" t="inlineStr">
        <is>
          <t>Центр. и Вост. Европа, Балканы, Прибалтика</t>
        </is>
      </c>
      <c r="B107" s="22" t="inlineStr">
        <is>
          <t>Going. (Going Sp. z o.o., Empik Bilety)</t>
        </is>
      </c>
      <c r="C107" s="2" t="inlineStr">
        <is>
          <t>https://www.goingapp.pl</t>
        </is>
      </c>
      <c r="D107" s="2" t="inlineStr">
        <is>
          <t>Poland</t>
        </is>
      </c>
      <c r="E107" s="2" t="inlineStr">
        <is>
          <t>PLN</t>
        </is>
      </c>
      <c r="F107" s="2" t="inlineStr">
        <is>
          <t>собирает на себя</t>
        </is>
      </c>
      <c r="G107" s="2" t="inlineStr">
        <is>
          <t>Organizer is the seller; Going sells as the organizer's agent and receives the money. Organizer authorises it to collect. Going invoices its commission (+VAT), normally netted from the transfer.</t>
        </is>
      </c>
      <c r="H107" s="2" t="inlineStr">
        <is>
          <t>percent</t>
        </is>
      </c>
      <c r="I107" s="2" t="inlineStr">
        <is>
          <t>• Tariff (Annex 1 of organizer terms, in force from 2023-05-19): 10% — distribution through goingapp.pl + Going app, empikbilety.pl, and Empik stores - the SAME 10% gross applies to all three channels — 10% of the gross ticket price + VAT on the commission. Buyer pays a separate service fee 'depending on price' set freely by Going (amount not published).</t>
        </is>
      </c>
      <c r="J107" s="2" t="inlineStr"/>
      <c r="K107" s="2" t="inlineStr">
        <is>
          <t>включён: None; свой процессинг: False; not stated in terms</t>
        </is>
      </c>
      <c r="L107" s="2" t="inlineStr">
        <is>
          <t>buyer pays service fee; organizer pays 10% commission</t>
        </is>
      </c>
      <c r="M107" s="2" t="inlineStr"/>
      <c r="N107" s="2" t="inlineStr"/>
      <c r="O107" s="2" t="inlineStr">
        <is>
          <t>Settlement report by the 5th of the month after the event; organizer has 3 days to object; payout within 14 days after report acceptance (so ~3-6 weeks after the event)</t>
        </is>
      </c>
      <c r="P107" s="2" t="inlineStr">
        <is>
          <t>Commission is also due on refunded tickets (event change/reclamation). Organizer alone responsible for refunds to buyers and complaints.</t>
        </is>
      </c>
      <c r="Q107" s="2" t="inlineStr">
        <is>
          <t>commission calculated on gross ticket price; VAT added to Going's invoice at the date's rate (23%)</t>
        </is>
      </c>
      <c r="R107" s="2" t="inlineStr">
        <is>
          <t>• 2% of every ticket pool (minimum 6 tickets) is sold to Going at a 99% discount for promotional use
• Going may sell insurance and other products to buyers on the organizer's sales
• Organizer licence for marketing materials remunerated with 1 PLN gross
• Either party can terminate with 30 days' notice; tariff changes effective not earlier than 30 days after notice
• Organiser must be a business or legal entity with full capacity</t>
        </is>
      </c>
      <c r="S107" s="2" t="inlineStr">
        <is>
          <t>• {"name": "event positioning / promotion services", "price": "agreed individually"}</t>
        </is>
      </c>
      <c r="T107" s="2" t="inlineStr"/>
      <c r="U107" s="2" t="inlineStr">
        <is>
          <t>Polish events app + marketplace, also sells via empikbilety.pl and Empik stores; concerts, clubs, theatre, sport</t>
        </is>
      </c>
      <c r="V107" s="2" t="inlineStr">
        <is>
          <t>page</t>
        </is>
      </c>
      <c r="W107" s="2" t="inlineStr">
        <is>
          <t>https://storage.goingapp.pl/storage/app/media/selfboarding/Warunki-i-zasady-korzystania-z-platformy-goingapp-dla-organizatorow.pdf (organizer terms PDF, paragraphs 7, 6.15, Annex 1)
https://join.goingapp.pl/ (sign-up page (no prices))</t>
        </is>
      </c>
    </row>
    <row r="108">
      <c r="A108" s="2" t="inlineStr">
        <is>
          <t>Центр. и Вост. Европа, Балканы, Прибалтика</t>
        </is>
      </c>
      <c r="B108" s="22" t="inlineStr">
        <is>
          <t>KupBilecik</t>
        </is>
      </c>
      <c r="C108" s="2" t="inlineStr">
        <is>
          <t>https://www.kupbilecik.pl</t>
        </is>
      </c>
      <c r="D108" s="2" t="inlineStr">
        <is>
          <t>Poland</t>
        </is>
      </c>
      <c r="E108" s="2" t="inlineStr">
        <is>
          <t>PLN</t>
        </is>
      </c>
      <c r="F108" s="2" t="inlineStr">
        <is>
          <t>собирает на себя</t>
        </is>
      </c>
      <c r="G108" s="2" t="inlineStr">
        <is>
          <t>Marketplace platform (inferred); organizer is paid out by the platform, terms not public.</t>
        </is>
      </c>
      <c r="H108" s="2" t="inlineStr">
        <is>
          <t>negotiated</t>
        </is>
      </c>
      <c r="I108" s="2" t="inlineStr"/>
      <c r="J108" s="2" t="inlineStr"/>
      <c r="K108" s="2" t="inlineStr"/>
      <c r="L108" s="2" t="inlineStr"/>
      <c r="M108" s="2" t="inlineStr"/>
      <c r="N108" s="2" t="inlineStr"/>
      <c r="O108" s="2" t="inlineStr"/>
      <c r="P108" s="2" t="inlineStr"/>
      <c r="Q108" s="2" t="inlineStr"/>
      <c r="R108" s="2" t="inlineStr">
        <is>
          <t>• Pay-per-sale: no start fees or subscription; billed only for tickets sold; no charge for listing; free promotion campaigns; no extra fees at partner retail points. Commission rate not published.</t>
        </is>
      </c>
      <c r="S108" s="2" t="inlineStr"/>
      <c r="T108" s="2" t="inlineStr">
        <is>
          <t>Contact</t>
        </is>
      </c>
      <c r="U108" s="2" t="inlineStr">
        <is>
          <t>Polish marketplace for stand-up, cabaret, theatre, concerts with its own organizer app and retail points</t>
        </is>
      </c>
      <c r="V108" s="2" t="inlineStr">
        <is>
          <t>page</t>
        </is>
      </c>
      <c r="W108" s="2" t="inlineStr">
        <is>
          <t>https://www.kupbilecik.pl/pl/organizers/login (organizer panel page)</t>
        </is>
      </c>
    </row>
    <row r="109">
      <c r="A109" s="2" t="inlineStr">
        <is>
          <t>Центр. и Вост. Европа, Балканы, Прибалтика</t>
        </is>
      </c>
      <c r="B109" s="22" t="inlineStr">
        <is>
          <t>eBilet / Biletomat (PLG) / Ticketmaster PL</t>
        </is>
      </c>
      <c r="C109" s="2" t="inlineStr">
        <is>
          <t>https://www.ebilet.pl</t>
        </is>
      </c>
      <c r="D109" s="2" t="inlineStr">
        <is>
          <t>Poland</t>
        </is>
      </c>
      <c r="E109" s="2" t="inlineStr">
        <is>
          <t>PLN</t>
        </is>
      </c>
      <c r="F109" s="2" t="inlineStr">
        <is>
          <t>собирает на себя</t>
        </is>
      </c>
      <c r="G109" s="2" t="inlineStr">
        <is>
          <t>Networks collect on organizer's behalf (assumed from structure); no public organizer pricing</t>
        </is>
      </c>
      <c r="H109" s="2" t="n"/>
      <c r="I109" s="2" t="inlineStr"/>
      <c r="J109" s="2" t="inlineStr"/>
      <c r="K109" s="2" t="inlineStr"/>
      <c r="L109" s="2" t="inlineStr"/>
      <c r="M109" s="2" t="inlineStr"/>
      <c r="N109" s="2" t="inlineStr"/>
      <c r="O109" s="2" t="inlineStr"/>
      <c r="P109" s="2" t="inlineStr"/>
      <c r="Q109" s="2" t="inlineStr"/>
      <c r="R109" s="2" t="inlineStr">
        <is>
          <t>• Biletomat: organizer page (wspolpraca.biletomat.pl) mentions a 'Cennik' page and a free consultation but states no commission
• eBilet: UOKiK (consumer authority) case on service fees (drip pricing) 2025 - buyer fee practice contested
• Ticketmaster PL self-service for small organizers: not found</t>
        </is>
      </c>
      <c r="S109" s="2" t="inlineStr"/>
      <c r="T109" s="2" t="inlineStr">
        <is>
          <t>Contact sales</t>
        </is>
      </c>
      <c r="U109" s="2" t="inlineStr">
        <is>
          <t>Large Polish networks (eBilet is Eventim Polska's brand; Biletomat part of PLG; Ticketmaster PL)</t>
        </is>
      </c>
      <c r="V109" s="2" t="inlineStr">
        <is>
          <t>snippet</t>
        </is>
      </c>
      <c r="W109" s="2" t="inlineStr">
        <is>
          <t>https://wspolpraca.biletomat.pl/pl (Biletomat PLG organizer page)
https://dimotely.pl/blog/czy-mozna-doliczyc-oplate-serwisowa-wobec-konsumenta-czyli-czego-dotyczyla-sprawa-ebilet/ (snippet only: UOKiK/eBilet service fee case)</t>
        </is>
      </c>
    </row>
    <row r="110">
      <c r="A110" s="2" t="inlineStr">
        <is>
          <t>Центр. и Вост. Европа, Балканы, Прибалтика</t>
        </is>
      </c>
      <c r="B110" s="22" t="inlineStr">
        <is>
          <t>Tixa.hu</t>
        </is>
      </c>
      <c r="C110" s="2" t="inlineStr">
        <is>
          <t>https://www.tixa.hu</t>
        </is>
      </c>
      <c r="D110" s="2" t="inlineStr">
        <is>
          <t>Hungary</t>
        </is>
      </c>
      <c r="E110" s="2" t="inlineStr">
        <is>
          <t>HUF</t>
        </is>
      </c>
      <c r="F110" s="2" t="inlineStr">
        <is>
          <t>собирает на себя</t>
        </is>
      </c>
      <c r="G110" s="2" t="inlineStr">
        <is>
          <t>TIXA acts as the organizer's intermediary/commission agent ('bizomanyosi konstrukcio') via SimplePay; organizer commission and payout not published; FAQ: payout either after the event closes or continuously, by arrangement.</t>
        </is>
      </c>
      <c r="H110" s="2" t="inlineStr">
        <is>
          <t>negotiated</t>
        </is>
      </c>
      <c r="I110" s="2" t="inlineStr"/>
      <c r="J110" s="2" t="inlineStr"/>
      <c r="K110" s="2" t="inlineStr">
        <is>
          <t>включён: None; свой процессинг: None; SimplePay (OTP Mobil), OTP SZEP card</t>
        </is>
      </c>
      <c r="L110" s="2" t="inlineStr">
        <is>
          <t>buyer pays 'kezelesi koltseg' (service fee) when TIXA sells as intermediary</t>
        </is>
      </c>
      <c r="M110" s="2" t="inlineStr"/>
      <c r="N110" s="2" t="inlineStr"/>
      <c r="O110" s="2" t="inlineStr">
        <is>
          <t>Post-event or continuous per agreement</t>
        </is>
      </c>
      <c r="P110" s="2" t="inlineStr">
        <is>
          <t>On event cancellation only ticket price refunded; service and delivery fees not refunded; chargebacks not addressed</t>
        </is>
      </c>
      <c r="Q110" s="2" t="inlineStr">
        <is>
          <t>not stated</t>
        </is>
      </c>
      <c r="R110" s="2" t="inlineStr">
        <is>
          <t>• Buyer fee not stated on TIXA's pages; Cooltix blog (competitor) says TIXA prices are not public; each partner gets a custom quote by event type/size/services; add-on price list linked but not retrieved</t>
        </is>
      </c>
      <c r="S110" s="2" t="inlineStr">
        <is>
          <t>• {"name": "add-on services (printing, wristbands, entry system, marketing)", "price": "separate price page, not retrieved"}</t>
        </is>
      </c>
      <c r="T110" s="2" t="inlineStr">
        <is>
          <t>Quote form</t>
        </is>
      </c>
      <c r="U110" s="2" t="inlineStr">
        <is>
          <t>Hungarian online ticketing for clubs, festivals, concerts; custom quotes, add-on services</t>
        </is>
      </c>
      <c r="V110" s="2" t="inlineStr">
        <is>
          <t>page</t>
        </is>
      </c>
      <c r="W110" s="2" t="inlineStr">
        <is>
          <t>https://site.tixa.hu/business (business page)
https://www.tixa.hu/aszf (T&amp;Cs)</t>
        </is>
      </c>
    </row>
    <row r="111">
      <c r="A111" s="2" t="inlineStr">
        <is>
          <t>Центр. и Вост. Европа, Балканы, Прибалтика</t>
        </is>
      </c>
      <c r="B111" s="22" t="inlineStr">
        <is>
          <t>Jegy.hu (Interticket)</t>
        </is>
      </c>
      <c r="C111" s="2" t="inlineStr">
        <is>
          <t>https://www.jegy.hu</t>
        </is>
      </c>
      <c r="D111" s="2" t="inlineStr">
        <is>
          <t>Hungary</t>
        </is>
      </c>
      <c r="E111" s="2" t="inlineStr">
        <is>
          <t>HUF</t>
        </is>
      </c>
      <c r="F111" s="2" t="inlineStr">
        <is>
          <t>собирает на себя</t>
        </is>
      </c>
      <c r="G111" s="2" t="inlineStr">
        <is>
          <t>Network collects; organizer terms not public (only a 'contract signing fee' mentioned by Cooltix's blog, amount unknown).</t>
        </is>
      </c>
      <c r="H111" s="2" t="inlineStr">
        <is>
          <t>negotiated</t>
        </is>
      </c>
      <c r="I111" s="2" t="inlineStr"/>
      <c r="J111" s="2" t="inlineStr"/>
      <c r="K111" s="2" t="inlineStr"/>
      <c r="L111" s="2" t="inlineStr">
        <is>
          <t>buyer</t>
        </is>
      </c>
      <c r="M111" s="2" t="inlineStr"/>
      <c r="N111" s="2" t="inlineStr"/>
      <c r="O111" s="2" t="inlineStr"/>
      <c r="P111" s="2" t="inlineStr">
        <is>
          <t>Service fee refunded if an event is cancelled, unless excluded cause (war, natural disaster, organizer pandemic decision)</t>
        </is>
      </c>
      <c r="Q111" s="2" t="inlineStr">
        <is>
          <t>buyer service fee includes VAT</t>
        </is>
      </c>
      <c r="R111" s="2" t="inlineStr">
        <is>
          <t>• Buyer fee 'generally 3% + 400 Ft per ticket', can differ by venue/event/ticket type, no min/max stated; not part of ticket price</t>
        </is>
      </c>
      <c r="S111" s="2" t="inlineStr"/>
      <c r="T111" s="2" t="inlineStr">
        <is>
          <t>Contract</t>
        </is>
      </c>
      <c r="U111" s="2" t="inlineStr">
        <is>
          <t>Biggest Hungarian network (Interticket Kft, theatres, concerts, festivals); organizer price via contract</t>
        </is>
      </c>
      <c r="V111" s="2" t="inlineStr">
        <is>
          <t>page</t>
        </is>
      </c>
      <c r="W111" s="2" t="inlineStr">
        <is>
          <t>https://www.jegy.hu/articles/19/vasarlasi-tajekoztato (buyer information section 8)</t>
        </is>
      </c>
    </row>
    <row r="112">
      <c r="A112" s="2" t="inlineStr">
        <is>
          <t>Центр. и Вост. Европа, Балканы, Прибалтика</t>
        </is>
      </c>
      <c r="B112" s="22" t="inlineStr">
        <is>
          <t>iaBilet (PLG deal announced May 2026)</t>
        </is>
      </c>
      <c r="C112" s="2" t="inlineStr">
        <is>
          <t>https://www.iabilet.ro</t>
        </is>
      </c>
      <c r="D112" s="2" t="inlineStr">
        <is>
          <t>Romania</t>
        </is>
      </c>
      <c r="E112" s="2" t="inlineStr">
        <is>
          <t>RON</t>
        </is>
      </c>
      <c r="F112" s="2" t="inlineStr">
        <is>
          <t>собирает на себя</t>
        </is>
      </c>
      <c r="G112" s="2" t="inlineStr">
        <is>
          <t>iaBilet says it only brokers sales and that refunds are for organizers to decide (ANPC fine 55,000 lei in 2024 for unrefunded cancelled shows); commission and settlement terms not public.</t>
        </is>
      </c>
      <c r="H112" s="2" t="inlineStr">
        <is>
          <t>percent</t>
        </is>
      </c>
      <c r="I112" s="2" t="inlineStr"/>
      <c r="J112" s="2" t="inlineStr"/>
      <c r="K112" s="2" t="inlineStr"/>
      <c r="L112" s="2" t="inlineStr">
        <is>
          <t>buyer sees a non-refundable ticketing commission on top of price, shown six times in checkout (per company)</t>
        </is>
      </c>
      <c r="M112" s="2" t="inlineStr">
        <is>
          <t>zero-value tickets possible with data capture</t>
        </is>
      </c>
      <c r="N112" s="2" t="inlineStr">
        <is>
          <t>seat blocking on maps, invitations</t>
        </is>
      </c>
      <c r="O112" s="2" t="inlineStr"/>
      <c r="P112" s="2" t="inlineStr">
        <is>
          <t>Ticketing fee not returned on cancellation (company position)</t>
        </is>
      </c>
      <c r="Q112" s="2" t="inlineStr"/>
      <c r="R112" s="2" t="inlineStr">
        <is>
          <t>• 'Low commission only when you sell'; no system or admin fees
• Printed tickets / invitation printing from 0.60 lei per piece
• Dedicated account manager and DITL tax documents free</t>
        </is>
      </c>
      <c r="S112" s="2" t="inlineStr">
        <is>
          <t>• {"name": "printed tickets / courier", "price": "from 0.60 lei per ticket"}</t>
        </is>
      </c>
      <c r="T112" s="2" t="inlineStr">
        <is>
          <t>Contact form</t>
        </is>
      </c>
      <c r="U112" s="2" t="inlineStr">
        <is>
          <t>Biggest Romanian marketplace (4,000+ organizers, 4 M tickets in 2024); own-site ticketing 'iaBilet makes your own ticket site'</t>
        </is>
      </c>
      <c r="V112" s="2" t="inlineStr">
        <is>
          <t>page</t>
        </is>
      </c>
      <c r="W112" s="2" t="inlineStr">
        <is>
          <t>https://m.iabilet.ro/servicii/ (services page)
https://economedia.ro/protectia-consumatorilor-a-amendat-cu-55-000-lei-platforma-iabilet-ro-pentru-ca-nu-a-rambursat-contravaloarea-unor-bilete-pentru-spectacole-anulate.html (snippet: ANPC fine and fee non-refund position)</t>
        </is>
      </c>
    </row>
    <row r="113">
      <c r="A113" s="2" t="inlineStr">
        <is>
          <t>Центр. и Вост. Европа, Балканы, Прибалтика</t>
        </is>
      </c>
      <c r="B113" s="22" t="inlineStr">
        <is>
          <t>Entertix / Bilete.ro / Eventim RO / AmBilet / Eventbook / LiveTickets (Romania, prices mostly hidden)</t>
        </is>
      </c>
      <c r="C113" s="2" t="inlineStr">
        <is>
          <t>https://www.entertix.ro</t>
        </is>
      </c>
      <c r="D113" s="2" t="inlineStr">
        <is>
          <t>Romania</t>
        </is>
      </c>
      <c r="E113" s="2" t="inlineStr">
        <is>
          <t>RON</t>
        </is>
      </c>
      <c r="F113" s="2" t="inlineStr">
        <is>
          <t>собирает на себя</t>
        </is>
      </c>
      <c r="G113" s="2" t="inlineStr">
        <is>
          <t>Mostly collecting; Eventbook pays out weekly, monthly, at a sales threshold or on request, cash within max 3 days after event end; Entertix mentions 'fast settlement mechanisms' with no timing</t>
        </is>
      </c>
      <c r="H113" s="2" t="inlineStr">
        <is>
          <t>negotiated</t>
        </is>
      </c>
      <c r="I113" s="2" t="inlineStr"/>
      <c r="J113" s="2" t="inlineStr"/>
      <c r="K113" s="2" t="inlineStr"/>
      <c r="L113" s="2" t="inlineStr">
        <is>
          <t>LiveTickets: organizer chooses per ticket category to include the service fee in the price or pass it to the buyer</t>
        </is>
      </c>
      <c r="M113" s="2" t="inlineStr"/>
      <c r="N113" s="2" t="inlineStr"/>
      <c r="O113" s="2" t="inlineStr"/>
      <c r="P113" s="2" t="inlineStr"/>
      <c r="Q113" s="2" t="inlineStr"/>
      <c r="R113" s="2" t="inlineStr">
        <is>
          <t>• Entertix organizer page: no prices; sales contact only
• Entertix offers buyers 'Caretix' cancellation cover for 5% of ticket value (buyer add-on)
• Bilete.ro, Eventim RO, Eventbook, LiveTickets, AmBilet: commission not published (AmBilet links an unretrieved 'Comisioane' page; LiveTickets: free sign-up, free scanner app, contract needed)
• Romanian market (Termene.ro): iaBilet, Entertix, Bilete.ro &gt;70% of a 61 M lei 2024 online ticketing market</t>
        </is>
      </c>
      <c r="S113" s="2" t="inlineStr"/>
      <c r="T113" s="2" t="inlineStr">
        <is>
          <t>Contact sales</t>
        </is>
      </c>
      <c r="U113" s="2" t="inlineStr">
        <is>
          <t>Romanian networks and self-service platforms</t>
        </is>
      </c>
      <c r="V113" s="2" t="inlineStr">
        <is>
          <t>page</t>
        </is>
      </c>
      <c r="W113" s="2" t="inlineStr">
        <is>
          <t>https://www.entertix.ro/servicii-organizatori.html (Entertix organizer services)
https://eventbook.ro/services (Eventbook services)
https://www.livetickets.ro/vinde-bilete (LiveTickets sell page)
https://ambilet.ro/ghid-organizator (AmBilet guide)</t>
        </is>
      </c>
    </row>
    <row r="114">
      <c r="A114" s="2" t="inlineStr">
        <is>
          <t>Центр. и Вост. Европа, Балканы, Прибалтика</t>
        </is>
      </c>
      <c r="B114" s="22" t="inlineStr">
        <is>
          <t>eTichet.ro and Biletin.ro (new Romanian low-fee platforms)</t>
        </is>
      </c>
      <c r="C114" s="2" t="inlineStr">
        <is>
          <t>https://www.etichet.ro</t>
        </is>
      </c>
      <c r="D114" s="2" t="inlineStr">
        <is>
          <t>Romania (Biletin.ro)</t>
        </is>
      </c>
      <c r="E114" s="2" t="inlineStr">
        <is>
          <t>RON</t>
        </is>
      </c>
      <c r="F114" s="2" t="inlineStr">
        <is>
          <t>собирает на себя</t>
        </is>
      </c>
      <c r="G114" s="2" t="inlineStr">
        <is>
          <t>Not stated (payments secured by 3D Secure via Monez payment system, role unclear)</t>
        </is>
      </c>
      <c r="H114" s="2" t="inlineStr">
        <is>
          <t>percent_plus_fixed</t>
        </is>
      </c>
      <c r="I114" s="2" t="inlineStr">
        <is>
          <t>• Selectable commission: 4% — 4%, 5% or 6% options — Organizer chooses per ticket type who pays; if organizer pays the buyer commission is 0
• Fixed per order: +1.0 — 1.00 RON per order + VAT (per order, not per ticket) — footnote</t>
        </is>
      </c>
      <c r="J114" s="2" t="inlineStr"/>
      <c r="K114" s="2" t="inlineStr"/>
      <c r="L114" s="2" t="inlineStr">
        <is>
          <t>configurable per ticket type</t>
        </is>
      </c>
      <c r="M114" s="2" t="inlineStr"/>
      <c r="N114" s="2" t="inlineStr"/>
      <c r="O114" s="2" t="inlineStr">
        <is>
          <t>not described</t>
        </is>
      </c>
      <c r="P114" s="2" t="inlineStr">
        <is>
          <t>organizer can refund from admin panel, no fee stated</t>
        </is>
      </c>
      <c r="Q114" s="2" t="inlineStr">
        <is>
          <t>VAT added on the commission</t>
        </is>
      </c>
      <c r="R114" s="2" t="inlineStr">
        <is>
          <t>• Example on page: 50 RON ticket, buyer commission 3.02 RON, final 53.02 RON; unexplained arithmetic; extras like hostess services paid, no price</t>
        </is>
      </c>
      <c r="S114" s="2" t="inlineStr">
        <is>
          <t>• {"name": "hostess service", "price": "not listed"}</t>
        </is>
      </c>
      <c r="T114" s="2" t="inlineStr"/>
      <c r="U114" s="2" t="inlineStr">
        <is>
          <t>Small self-service ticketing startups with public price lists</t>
        </is>
      </c>
      <c r="V114" s="2" t="inlineStr">
        <is>
          <t>page</t>
        </is>
      </c>
      <c r="W114" s="2" t="inlineStr">
        <is>
          <t>https://biletin.ro/pentru-organizatori (organizer page)</t>
        </is>
      </c>
    </row>
    <row r="115">
      <c r="A115" s="2" t="inlineStr">
        <is>
          <t>Центр. и Вост. Европа, Балканы, Прибалтика</t>
        </is>
      </c>
      <c r="B115" s="22" t="inlineStr">
        <is>
          <t>Entrio (HR/BA/RS group, now incl. Ulaznice.hr and Gigs Tix)</t>
        </is>
      </c>
      <c r="C115" s="2" t="inlineStr">
        <is>
          <t>https://www.entrio.hr</t>
        </is>
      </c>
      <c r="D115" s="2" t="inlineStr">
        <is>
          <t>Croatia</t>
        </is>
      </c>
      <c r="E115" s="2" t="inlineStr">
        <is>
          <t>EUR</t>
        </is>
      </c>
      <c r="F115" s="2" t="inlineStr">
        <is>
          <t>собирает на себя</t>
        </is>
      </c>
      <c r="G115" s="2" t="inlineStr">
        <is>
          <t>Entrio sells in the organizer's name; collects; fee deducted ('naknada se obracunava na sve kanale'). Payout terms behind 403 pages.</t>
        </is>
      </c>
      <c r="H115" s="2" t="inlineStr">
        <is>
          <t>percent</t>
        </is>
      </c>
      <c r="I115" s="2" t="inlineStr">
        <is>
          <t>• Standard organizer terms: 8.5% — all channels (web, own site, social, sales points, door) — 8.5% + PDV of the gross ticket price for physical events 'unless otherwise agreed'; the fee is calculated on final gross turnover (2023 blog); 'can be lower' for larger deals; online/virtual events have a different rate (not read)</t>
        </is>
      </c>
      <c r="J115" s="2" t="inlineStr"/>
      <c r="K115" s="2" t="inlineStr"/>
      <c r="L115" s="2" t="inlineStr">
        <is>
          <t>buyer pays a non-refundable ticket issuing fee; organizer pays the commission</t>
        </is>
      </c>
      <c r="M115" s="2" t="inlineStr"/>
      <c r="N115" s="2" t="inlineStr"/>
      <c r="O115" s="2" t="inlineStr"/>
      <c r="P115" s="2" t="inlineStr">
        <is>
          <t>Buyer issuing fee non-refundable and may depend on the commercial agreement with the organizer</t>
        </is>
      </c>
      <c r="Q115" s="2" t="inlineStr">
        <is>
          <t>commission quoted + PDV (VAT)</t>
        </is>
      </c>
      <c r="R115" s="2" t="inlineStr">
        <is>
          <t>• Natural persons may not sell through Entrio (company required)
• Croatian ticket VAT 5% or 25% depending on event type</t>
        </is>
      </c>
      <c r="S115" s="2" t="inlineStr"/>
      <c r="T115" s="2" t="inlineStr">
        <is>
          <t>Negotiable</t>
        </is>
      </c>
      <c r="U115" s="2" t="inlineStr">
        <is>
          <t>Largest ticketing group in SE Europe after merging with Ulaznice.hr (2024) and acquiring Gigs Tix (Serbia, announced 2026-05-08); concerts, festivals, conferences</t>
        </is>
      </c>
      <c r="V115" s="2" t="inlineStr">
        <is>
          <t>snippet</t>
        </is>
      </c>
      <c r="W115" s="2" t="inlineStr">
        <is>
          <t>https://www.entrio.hr/organize (organizer page (search snippet; page returned 403/timeout))
https://www.entrio.hr/blog/organizatori-dogadaja-odgovori-na-vasa-pitanja-su-ovdje/ (blog snippet: standard commission 8.5% + PDV)</t>
        </is>
      </c>
    </row>
    <row r="116">
      <c r="A116" s="2" t="inlineStr">
        <is>
          <t>Центр. и Вост. Европа, Балканы, Прибалтика</t>
        </is>
      </c>
      <c r="B116" s="22" t="inlineStr">
        <is>
          <t>Adriaticket</t>
        </is>
      </c>
      <c r="C116" s="2" t="inlineStr">
        <is>
          <t>https://shop.adriaticket.com</t>
        </is>
      </c>
      <c r="D116" s="2" t="inlineStr">
        <is>
          <t>Croatia</t>
        </is>
      </c>
      <c r="E116" s="2" t="inlineStr">
        <is>
          <t>EUR</t>
        </is>
      </c>
      <c r="F116" s="2" t="inlineStr">
        <is>
          <t>собирает на себя</t>
        </is>
      </c>
      <c r="G116" s="2" t="inlineStr">
        <is>
          <t>Sells 'in the name and for the account of the organizer'; payments via WSPay contract held by Adriaticket; payout timing not stated.</t>
        </is>
      </c>
      <c r="H116" s="2" t="inlineStr">
        <is>
          <t>percent</t>
        </is>
      </c>
      <c r="I116" s="2" t="inlineStr">
        <is>
          <t>• Basic: 0% — free event page only; NO ticket sales — free events get RSVP only; a paid event cannot mix free tickets
• Standard: 3.9% — online sales via AT webshop; 1 hall layout; 1 banner 2 weeks before presale; 1 Facebook + 1 Instagram post; phone scanning — extra layouts at additional fee (amount in a CSV price list not read)
• Business: 4.9% — Standard + sales at all AT shops, unlimited layouts, webshop slider for whole sale, 2 banners, 2 FB + 2 IG posts, phone scanning + scanner device</t>
        </is>
      </c>
      <c r="J116" s="2" t="inlineStr"/>
      <c r="K116" s="2" t="inlineStr">
        <is>
          <t>включён: True; свой процессинг: False; WSPay; foreign-currency online card payment possible, point-of-sale cash EUR only</t>
        </is>
      </c>
      <c r="L116" s="2" t="inlineStr">
        <is>
          <t>organizer pays plan percentage; buyer pays a non-refundable ticket generation/delivery fee (amount in price list CSV)</t>
        </is>
      </c>
      <c r="M116" s="2" t="inlineStr">
        <is>
          <t>Free events only on Basic (RSVP, no tickets)</t>
        </is>
      </c>
      <c r="N116" s="2" t="inlineStr">
        <is>
          <t>hall layouts: 1 included in Standard, unlimited in Business, extra layouts chargeable</t>
        </is>
      </c>
      <c r="O116" s="2" t="inlineStr">
        <is>
          <t>not stated</t>
        </is>
      </c>
      <c r="P116" s="2" t="inlineStr">
        <is>
          <t>Organizer solely responsible for refunds on cancellation; Adriaticket is only an intermediary; buyer fee non-refundable</t>
        </is>
      </c>
      <c r="Q116" s="2" t="inlineStr">
        <is>
          <t>not stated; fiscalized tickets</t>
        </is>
      </c>
      <c r="R116" s="2" t="inlineStr">
        <is>
          <t>• Downgrade only when no active events; upgrade does not move running events
• Price list published as a CSV (webshop_Makarska-17-Split_0163_...csv), reference valid 2026-09-10</t>
        </is>
      </c>
      <c r="S116" s="2" t="inlineStr">
        <is>
          <t>• {"name": "extra hall layouts", "price": "not read"}</t>
        </is>
      </c>
      <c r="T116" s="2" t="inlineStr"/>
      <c r="U116" s="2" t="inlineStr">
        <is>
          <t>Croatian network of 20+ sales points on the coast; self-service packages for organizers; also adriaticket.ba</t>
        </is>
      </c>
      <c r="V116" s="2" t="inlineStr">
        <is>
          <t>page</t>
        </is>
      </c>
      <c r="W116" s="2" t="inlineStr">
        <is>
          <t>https://shop.adriaticket.com/OrganizeEvent (package page)
https://shop.adriaticket.com/terms-conditions (T&amp;Cs)</t>
        </is>
      </c>
    </row>
    <row r="117">
      <c r="A117" s="2" t="inlineStr">
        <is>
          <t>Центр. и Вост. Европа, Балканы, Прибалтика</t>
        </is>
      </c>
      <c r="B117" s="22" t="inlineStr">
        <is>
          <t>Serbia / Slovenia / Bosnia / Montenegro / North Macedonia platforms (hidden or not retrievable)</t>
        </is>
      </c>
      <c r="C117" s="2" t="n"/>
      <c r="D117" s="2" t="inlineStr">
        <is>
          <t>Western Balkans / Slovenia</t>
        </is>
      </c>
      <c r="E117" s="2" t="inlineStr">
        <is>
          <t>RSD / EUR / BAM / MKD</t>
        </is>
      </c>
      <c r="F117" s="2" t="inlineStr">
        <is>
          <t>собирает на себя</t>
        </is>
      </c>
      <c r="G117" s="2" t="inlineStr">
        <is>
          <t>Gigstix terms: Gigs Tix collects the ticket price on behalf of the organizer (acts in the organizer's name and for its account), card processing by Chip Card; eFinity states it sells 'exclusively in the name and on behalf of the organizer' (help page snippet).</t>
        </is>
      </c>
      <c r="H117" s="2" t="n"/>
      <c r="I117" s="2" t="inlineStr"/>
      <c r="J117" s="2" t="inlineStr"/>
      <c r="K117" s="2" t="inlineStr"/>
      <c r="L117" s="2" t="inlineStr">
        <is>
          <t>buyer pays an 'online order processing fee' (amount depends on event and order value, shown at checkout, lower for payment-slip/e-banking, none at physical points of sale, not refunded when event is cancelled)</t>
        </is>
      </c>
      <c r="M117" s="2" t="inlineStr"/>
      <c r="N117" s="2" t="inlineStr"/>
      <c r="O117" s="2" t="inlineStr"/>
      <c r="P117" s="2" t="inlineStr">
        <is>
          <t>Gigstix: fee refunded only if the service was not performed properly</t>
        </is>
      </c>
      <c r="Q117" s="2" t="inlineStr"/>
      <c r="R117" s="2" t="inlineStr">
        <is>
          <t>• Tickets.rs, eFinity (JavaScript-only site, no text retrievable), Eventim.si (B2B page timed out), Mojekarte.si ('500+ organizers', organizer page lists services only), Karte.ba, Tickets.ba, North Macedonia: no organizer pricing found
• eFinity advertises 'THE TICKET IS FREE' for free-event organizers (snippet) and up to 5% cashback tokens for buyers on some events</t>
        </is>
      </c>
      <c r="S117" s="2" t="inlineStr"/>
      <c r="T117" s="2" t="inlineStr">
        <is>
          <t>Contact sales for all</t>
        </is>
      </c>
      <c r="U117" s="2" t="inlineStr">
        <is>
          <t>Tickets.rs (Ticket Vision), eFinity, Gigstix (Serbia, Montenegro), Eventim.si, Mojekarte.si, Karte.ba, Tickets.ba</t>
        </is>
      </c>
      <c r="V117" s="2" t="inlineStr">
        <is>
          <t>page</t>
        </is>
      </c>
      <c r="W117" s="2" t="inlineStr">
        <is>
          <t>https://new.gigstix.com/uslovi-prodaje-i-koriscenja-en/ (Gigstix terms of sale)
https://www.mojekarte.si/si/za-organizatorje.html (Mojekarte organizer page)</t>
        </is>
      </c>
    </row>
    <row r="118">
      <c r="A118" s="2" t="inlineStr">
        <is>
          <t>Центр. и Вост. Европа, Балканы, Прибалтика</t>
        </is>
      </c>
      <c r="B118" s="22" t="inlineStr">
        <is>
          <t>Piletilevi / Biletu Serviss (PLG Baltics)</t>
        </is>
      </c>
      <c r="C118" s="2" t="inlineStr">
        <is>
          <t>https://korraldaja.piletilevi.ee/en</t>
        </is>
      </c>
      <c r="D118" s="2" t="inlineStr">
        <is>
          <t>Estonia (also Latvia)</t>
        </is>
      </c>
      <c r="E118" s="2" t="inlineStr">
        <is>
          <t>EUR</t>
        </is>
      </c>
      <c r="F118" s="2" t="inlineStr">
        <is>
          <t>собирает на себя</t>
        </is>
      </c>
      <c r="G118" s="2" t="inlineStr">
        <is>
          <t>Payment intermediary: collects buyers' payments on the organizer's behalf; fees deducted from sales revenue; payout on the Friday of the week after the event (next working day if holiday). Piletilevi may suspend payments under the sanctions clause.</t>
        </is>
      </c>
      <c r="H118" s="2" t="inlineStr">
        <is>
          <t>negotiated</t>
        </is>
      </c>
      <c r="I118" s="2" t="inlineStr"/>
      <c r="J118" s="2" t="inlineStr"/>
      <c r="K118" s="2" t="inlineStr"/>
      <c r="L118" s="2" t="inlineStr">
        <is>
          <t>organizer pays service fees (deducted); Piletilevi may add its own service fee on top of ticket price, paid by the buyer</t>
        </is>
      </c>
      <c r="M118" s="2" t="inlineStr"/>
      <c r="N118" s="2" t="inlineStr"/>
      <c r="O118" s="2" t="inlineStr">
        <is>
          <t>Friday of the week after the event; if a buyback may be needed Piletilevi can reserve funds; credit card refunds provided for within 120 days after the event, remaining revenue released after 120 days with no claims</t>
        </is>
      </c>
      <c r="P118" s="2" t="inlineStr">
        <is>
          <t>On cancel/postpone organizer handles refunds; if Piletilevi runs the buyback the organizer pays a fee equal to the brokerage fee (unless agreed otherwise) plus costs; organizer reimburses fines caused by it</t>
        </is>
      </c>
      <c r="Q118" s="2" t="inlineStr">
        <is>
          <t>service fees exclusive of VAT, added at the statutory rate</t>
        </is>
      </c>
      <c r="R118" s="2" t="inlineStr">
        <is>
          <t>• Price list and 'special terms' given only to the organizer before each event; list changeable unilaterally, but changes apply only to new events
• The ticket widget is a paid licence (amount not given)
• Liability capped at fees paid in the previous 12 months; 3 months' termination notice
• FAQ answer to 'how much does it cost': not disclosed</t>
        </is>
      </c>
      <c r="S118" s="2" t="inlineStr">
        <is>
          <t>• {"name": "banners, newsletter, digital screens, Google Ads, social, ticket lottery", "price": "not public"}</t>
        </is>
      </c>
      <c r="T118" s="2" t="inlineStr">
        <is>
          <t>Project manager sends contract + framework agreement</t>
        </is>
      </c>
      <c r="U118" s="2" t="inlineStr">
        <is>
          <t>Dominant Baltic network (Estonia, Latvia, Lithuania via Tiketa/Bilesu Serviss), sold through project managers; widget as paid licence</t>
        </is>
      </c>
      <c r="V118" s="2" t="inlineStr">
        <is>
          <t>page</t>
        </is>
      </c>
      <c r="W118" s="2" t="inlineStr">
        <is>
          <t>https://korraldaja.piletilevi.ee/en/general-conditions (general conditions for promoters (2025-05-20))
https://korraldaja.piletilevi.ee/en/start-your-event (start page, price not disclosed)</t>
        </is>
      </c>
    </row>
    <row r="119">
      <c r="A119" s="2" t="inlineStr">
        <is>
          <t>Центр. и Вост. Европа, Балканы, Прибалтика</t>
        </is>
      </c>
      <c r="B119" s="22" t="inlineStr">
        <is>
          <t>Eventim (group) - Eventim.Light self-service as the only public Eventim organizer price</t>
        </is>
      </c>
      <c r="C119" s="2" t="inlineStr">
        <is>
          <t>https://www.eventim-light.de</t>
        </is>
      </c>
      <c r="D119" s="2" t="inlineStr">
        <is>
          <t>Germany (reference for the Eventim group)</t>
        </is>
      </c>
      <c r="E119" s="2" t="inlineStr">
        <is>
          <t>EUR</t>
        </is>
      </c>
      <c r="F119" s="2" t="inlineStr">
        <is>
          <t>собирает на себя</t>
        </is>
      </c>
      <c r="G119" s="2" t="inlineStr">
        <is>
          <t>Payment within five working days after the event is set to 'Finished' to the bank account in the organizer's profile.</t>
        </is>
      </c>
      <c r="H119" s="2" t="inlineStr">
        <is>
          <t>percent_plus_fixed</t>
        </is>
      </c>
      <c r="I119" s="2" t="inlineStr">
        <is>
          <t>• Ticket fee, base price up to 6.99 EUR: 3.5% +0.49 — own ticket shop, own box office, eventim.de and booking offices at the same fee — no setup, no binding contract, payment fees and taxes included
• Ticket fee, base price 7.00 EUR and above: 3.5% +0.99 — same
• Optional EVENTIM network: 10% — additional advance booking fee 10% of base price, access to eventim.de and ~10,000 booking offices — paid on top of the ticket fee</t>
        </is>
      </c>
      <c r="J119" s="2" t="inlineStr"/>
      <c r="K119" s="2" t="inlineStr">
        <is>
          <t>включён: True; свой процессинг: None</t>
        </is>
      </c>
      <c r="L119" s="2" t="inlineStr">
        <is>
          <t>configurable: absorb or pass on to buyers</t>
        </is>
      </c>
      <c r="M119" s="2" t="inlineStr"/>
      <c r="N119" s="2" t="inlineStr"/>
      <c r="O119" s="2" t="inlineStr">
        <is>
          <t>within 5 working days after event finished</t>
        </is>
      </c>
      <c r="P119" s="2" t="inlineStr">
        <is>
          <t>Ticket fees and commissions may still apply when an event is cancelled</t>
        </is>
      </c>
      <c r="Q119" s="2" t="inlineStr">
        <is>
          <t>taxes included in the ticket fee, rate not stated</t>
        </is>
      </c>
      <c r="R119" s="2" t="inlineStr">
        <is>
          <t>• Network orders may add buyer booking fees and shipping</t>
        </is>
      </c>
      <c r="S119" s="2" t="inlineStr"/>
      <c r="T119" s="2" t="inlineStr"/>
      <c r="U119" s="2" t="inlineStr">
        <is>
          <t>CTS Eventim self-service tier; Eventim CZ/SK/PL (eBilet)/RO/BG/SI sell through B2B contracts without public prices</t>
        </is>
      </c>
      <c r="V119" s="2" t="inlineStr">
        <is>
          <t>page</t>
        </is>
      </c>
      <c r="W119" s="2" t="inlineStr">
        <is>
          <t>https://www.eventim-light.de/en/pricing/ (pricing page)</t>
        </is>
      </c>
    </row>
    <row r="120">
      <c r="A120" s="2" t="inlineStr">
        <is>
          <t>СНГ без России, Израиль</t>
        </is>
      </c>
      <c r="B120" s="22" t="inlineStr">
        <is>
          <t>Karabas.com</t>
        </is>
      </c>
      <c r="C120" s="2" t="inlineStr">
        <is>
          <t>https://karabas.com</t>
        </is>
      </c>
      <c r="D120" s="2" t="inlineStr">
        <is>
          <t>Ukraine (and diaspora city sites: DE, CY, FR, AT, UK, MD, IE, SK, HU, PT, NL, BE, NO, SE, FI, RS, CH, PL, ES, IT, CZ, DK)</t>
        </is>
      </c>
      <c r="E120" s="2" t="inlineStr">
        <is>
          <t>UAH</t>
        </is>
      </c>
      <c r="F120" s="2" t="inlineStr">
        <is>
          <t>собирает на себя</t>
        </is>
      </c>
      <c r="G120" s="2" t="inlineStr">
        <is>
          <t>Public offer: operator is an Agent (LLC 'NBOKS') selling on behalf of the Organizer/Principal; buyer pays the Agent (site, box offices, call-centre, partner network). Payout timing/reserve to organizer not published (contract only).</t>
        </is>
      </c>
      <c r="H120" s="2" t="inlineStr">
        <is>
          <t>percent</t>
        </is>
      </c>
      <c r="I120" s="2" t="inlineStr">
        <is>
          <t>• Individual contract with organizer:  — sales via site, box offices across Ukraine, call centre, partner network (per promoter page) — Organizer commission size is set in the contract, not published (promoter page says contract terms and commission size are agreed individually). Buyer 'service fee' (Сервисный сбор) is a % of the ticket value per the public offer: 'traditionally 10%' but can be set individually by the Agent.</t>
        </is>
      </c>
      <c r="J120" s="2" t="inlineStr"/>
      <c r="K120" s="2" t="inlineStr">
        <is>
          <t>включён: None; свой процессинг: False; Buyer card payments go to the Agent; legal-entity buyers pay by bank transfer on invoice</t>
        </is>
      </c>
      <c r="L120" s="2" t="inlineStr">
        <is>
          <t>buyer</t>
        </is>
      </c>
      <c r="M120" s="2" t="inlineStr"/>
      <c r="N120" s="2" t="inlineStr"/>
      <c r="O120" s="2" t="inlineStr">
        <is>
          <t>not published</t>
        </is>
      </c>
      <c r="P120" s="2" t="inlineStr">
        <is>
          <t>Refund of money only under the offer's terms and an official organizer letter; service fee not stated as refundable for buyer-initiated returns (offer clause 1.14 defines it per ticket).</t>
        </is>
      </c>
      <c r="Q120" s="2" t="inlineStr">
        <is>
          <t>not stated</t>
        </is>
      </c>
      <c r="R120" s="2" t="inlineStr">
        <is>
          <t>• service fee 'traditionally 10%' of ticket value, individual rates possible (public offer 1.14)
• a 'Martial law' services page exists (special refund/transfer rules)</t>
        </is>
      </c>
      <c r="S120" s="2" t="inlineStr">
        <is>
          <t>• {"name": "box-office network, call centre, gift cards", "price": "not published"}</t>
        </is>
      </c>
      <c r="T120" s="2" t="inlineStr">
        <is>
          <t>organizer terms by contract; contact commercial@karabas.com</t>
        </is>
      </c>
      <c r="U120" s="2" t="inlineStr">
        <is>
          <t>large Ukrainian ticket operator (web + box offices + partner network), also diaspora city sites in ~25 countries; organizers sign an individual contract</t>
        </is>
      </c>
      <c r="V120" s="2" t="inlineStr">
        <is>
          <t>page</t>
        </is>
      </c>
      <c r="W120" s="2" t="inlineStr">
        <is>
          <t>https://karabas.com/ru/offerta/ (public offer (service fee definition, agent model))
https://karabas.com/ru/promoter/ (organizer page (services list, contract required))
https://karabas.cz/uk/promoter/ (search snippet: contract and commission size terms agreed individually)</t>
        </is>
      </c>
    </row>
    <row r="121">
      <c r="A121" s="2" t="inlineStr">
        <is>
          <t>СНГ без России, Израиль</t>
        </is>
      </c>
      <c r="B121" s="22" t="inlineStr">
        <is>
          <t>Concert.ua</t>
        </is>
      </c>
      <c r="C121" s="2" t="inlineStr">
        <is>
          <t>https://concert.ua</t>
        </is>
      </c>
      <c r="D121" s="2" t="inlineStr">
        <is>
          <t>Ukraine</t>
        </is>
      </c>
      <c r="E121" s="2" t="inlineStr">
        <is>
          <t>UAH</t>
        </is>
      </c>
      <c r="F121" s="2" t="inlineStr">
        <is>
          <t>собирает на себя</t>
        </is>
      </c>
      <c r="G121" s="2" t="inlineStr">
        <is>
          <t>Public offer: Agent sells tickets on behalf of the organizer; the buyer pays the Agent; the Agent is not authorised to refund buyers unless agreed with the organizer. Payout schedule not published.</t>
        </is>
      </c>
      <c r="H121" s="2" t="inlineStr">
        <is>
          <t>mixed</t>
        </is>
      </c>
      <c r="I121" s="2" t="inlineStr">
        <is>
          <t>• Agent commission + buyer service fee (individual contract):  — sales online and in Concert.ua box offices, automatic returns, scanning app, analytics, daily reports, own-site selling, access for other operators — Offer 1.19: the buyer-paid 'Service fee' is set by the Agent by agreement with the organizer or by the Agent alone, as a percentage of nominal ticket value or a fixed amount. Add-on services (printed ticket, courier delivery, personal order handling) are priced separately by the Agent.</t>
        </is>
      </c>
      <c r="J121" s="2" t="inlineStr"/>
      <c r="K121" s="2" t="inlineStr">
        <is>
          <t>включён: True; свой процессинг: False; not published</t>
        </is>
      </c>
      <c r="L121" s="2" t="inlineStr">
        <is>
          <t>buyer (service fee on top); organizer pays an agent commission by contract</t>
        </is>
      </c>
      <c r="M121" s="2" t="inlineStr"/>
      <c r="N121" s="2" t="inlineStr"/>
      <c r="O121" s="2" t="inlineStr">
        <is>
          <t>not published</t>
        </is>
      </c>
      <c r="P121" s="2" t="inlineStr">
        <is>
          <t>Service fee and additional services are not refundable when the buyer gets the nominal price back from the organizer (offer 10.4).</t>
        </is>
      </c>
      <c r="Q121" s="2" t="inlineStr">
        <is>
          <t>not stated</t>
        </is>
      </c>
      <c r="R121" s="2" t="inlineStr">
        <is>
          <t>• market quote from Concert.ua founder (Delo.ua, 2026-10-05): operator earns agent reward ~6-8% plus buyer service fee ~5-9% depending on contract
• 2023 scandal: a flat 100 UAH per ticket on charity tickets (news, 2023-05-19)
• Jan 2026: internal management conflict, company asked organizers to temporarily move events to other operators (news 2026-01-15/18) - reputational/continuity risk</t>
        </is>
      </c>
      <c r="S121" s="2" t="inlineStr">
        <is>
          <t>• {"name": "printed tickets, delivery, personal order handling", "price": "set unilaterally by agent"}</t>
        </is>
      </c>
      <c r="T121" s="2" t="inlineStr">
        <is>
          <t>individual terms</t>
        </is>
      </c>
      <c r="U121" s="2" t="inlineStr">
        <is>
          <t>largest Ukrainian ticket operator (est. 2012), organizers get a portal (events, sales, scanning, reports)</t>
        </is>
      </c>
      <c r="V121" s="2" t="inlineStr">
        <is>
          <t>page</t>
        </is>
      </c>
      <c r="W121" s="2" t="inlineStr">
        <is>
          <t>https://concert.ua/uk/page/offer (public offer, clauses 1.19, 1.20, 10.4)
https://concert.ua/uk/page/to-promoters (organizer page (services, no prices))
https://delo.ua/ru/creative-economy/kuda-uxodyat-dengi-s-koncerta-kak-rabotaet-biletnyi-biznes-v-ukraine-473768/ (market structure article with founder/producer quotes)
https://news.obozrevatel.com/ukr/society/100-grn-z-kozhnogo-kvitka-concert-ua-potrapiv-u-guchnij-skandal-cherez-zarobitki-na-blagodijnosti.htm (2023 charity-ticket fee scandal)</t>
        </is>
      </c>
    </row>
    <row r="122">
      <c r="A122" s="2" t="inlineStr">
        <is>
          <t>СНГ без России, Израиль</t>
        </is>
      </c>
      <c r="B122" s="22" t="inlineStr">
        <is>
          <t>Kontramarka (Kontramarka.ua / Kontramarka.com)</t>
        </is>
      </c>
      <c r="C122" s="2" t="inlineStr">
        <is>
          <t>https://kontramarka.ua</t>
        </is>
      </c>
      <c r="D122" s="2" t="inlineStr">
        <is>
          <t>Ukraine / international (kontramarka.com)</t>
        </is>
      </c>
      <c r="E122" s="2" t="inlineStr">
        <is>
          <t>UAH (UA), other not stated</t>
        </is>
      </c>
      <c r="F122" s="2" t="inlineStr">
        <is>
          <t>собирает на себя</t>
        </is>
      </c>
      <c r="G122" s="2" t="inlineStr">
        <is>
          <t>Site says platform operators act as commission agents of the organizers (kontramarka.com about page, snippet). Payout terms not published.</t>
        </is>
      </c>
      <c r="H122" s="2" t="inlineStr">
        <is>
          <t>negotiated</t>
        </is>
      </c>
      <c r="I122" s="2" t="inlineStr">
        <is>
          <t>• Distribution package:  — online sales — described only as 'low commissions', no figure
• Cashier package:  — free hall layouts and free promo-code module — described as a 'low flat fee', no figure
• On Site Ticketing:  — drawing/layout/programming of seating, provider handles maintenance — hybrid arrangements priced by individual offer</t>
        </is>
      </c>
      <c r="J122" s="2" t="inlineStr"/>
      <c r="K122" s="2" t="inlineStr">
        <is>
          <t>включён: None; свой процессинг: None</t>
        </is>
      </c>
      <c r="L122" s="2" t="inlineStr"/>
      <c r="M122" s="2" t="inlineStr"/>
      <c r="N122" s="2" t="inlineStr">
        <is>
          <t>free room layouts in the cashier package (kontramarka.com)</t>
        </is>
      </c>
      <c r="O122" s="2" t="inlineStr">
        <is>
          <t>not published</t>
        </is>
      </c>
      <c r="P122" s="2" t="inlineStr"/>
      <c r="Q122" s="2" t="inlineStr">
        <is>
          <t>not stated</t>
        </is>
      </c>
      <c r="R122" s="2" t="inlineStr">
        <is>
          <t>• no numbers anywhere on the public pages</t>
        </is>
      </c>
      <c r="S122" s="2" t="inlineStr"/>
      <c r="T122" s="2" t="inlineStr">
        <is>
          <t>individual offer on request</t>
        </is>
      </c>
      <c r="U122" s="2" t="inlineStr">
        <is>
          <t>Ukrainian national ticket operator on the Maestro Ticket System; kontramarka.com offers organizer packages for international events</t>
        </is>
      </c>
      <c r="V122" s="2" t="inlineStr">
        <is>
          <t>page</t>
        </is>
      </c>
      <c r="W122" s="2" t="inlineStr">
        <is>
          <t>https://www.kontramarka.com/sell-your-event/ (organizer packages page)
https://kontramarka.ua/en/pages/corporate-customers (search snippet: venues invited to cooperate (page not readable))</t>
        </is>
      </c>
    </row>
    <row r="123">
      <c r="A123" s="2" t="inlineStr">
        <is>
          <t>СНГ без России, Израиль</t>
        </is>
      </c>
      <c r="B123" s="22" t="inlineStr">
        <is>
          <t>Internet-bilet.ua and Ticketsbox (Ukraine)</t>
        </is>
      </c>
      <c r="C123" s="2" t="inlineStr">
        <is>
          <t>https://internet-bilet.ua ; https://ticketsbox.com</t>
        </is>
      </c>
      <c r="D123" s="2" t="inlineStr">
        <is>
          <t>Ukraine</t>
        </is>
      </c>
      <c r="E123" s="2" t="inlineStr">
        <is>
          <t>UAH</t>
        </is>
      </c>
      <c r="F123" s="2" t="inlineStr">
        <is>
          <t>собирает на себя</t>
        </is>
      </c>
      <c r="G123" s="2" t="inlineStr">
        <is>
          <t>Ticketsbox public offer: operator charges buyer a 'Service fee' set by the operator itself as a percentage of nominal price or other method; offer is silent on organizer commission and payout timing. Internet-bilet: contract documents to be signed per organizers page (snippet).</t>
        </is>
      </c>
      <c r="H123" s="2" t="inlineStr">
        <is>
          <t>negotiated</t>
        </is>
      </c>
      <c r="I123" s="2" t="inlineStr">
        <is>
          <t>• Contract (no public tariffs):  — Ticketsbox: ticket quotas for resellers, commission/profit calculation tools, settlement tools, printed/electronic tickets with protection — Ticketsbox offer 1.13: service fee defined by operator as percentage of nominal or other way, no figure; 5.3 buyer pays it with the tickets; 9.4 service fee not refundable.</t>
        </is>
      </c>
      <c r="J123" s="2" t="inlineStr"/>
      <c r="K123" s="2" t="inlineStr">
        <is>
          <t>включён: None; свой процессинг: None</t>
        </is>
      </c>
      <c r="L123" s="2" t="inlineStr">
        <is>
          <t>buyer (service fee)</t>
        </is>
      </c>
      <c r="M123" s="2" t="inlineStr"/>
      <c r="N123" s="2" t="inlineStr"/>
      <c r="O123" s="2" t="inlineStr">
        <is>
          <t>not published</t>
        </is>
      </c>
      <c r="P123" s="2" t="inlineStr">
        <is>
          <t>Ticketsbox: service fee non-refundable; organizer is responsible for refunds to buyers.</t>
        </is>
      </c>
      <c r="Q123" s="2" t="inlineStr">
        <is>
          <t>not stated</t>
        </is>
      </c>
      <c r="R123" s="2" t="inlineStr"/>
      <c r="S123" s="2" t="inlineStr"/>
      <c r="T123" s="2" t="inlineStr">
        <is>
          <t>contact by email/manager</t>
        </is>
      </c>
      <c r="U123" s="2" t="inlineStr">
        <is>
          <t>Ukrainian ticket operators; organizers sign a contract by email/manager</t>
        </is>
      </c>
      <c r="V123" s="2" t="inlineStr">
        <is>
          <t>page</t>
        </is>
      </c>
      <c r="W123" s="2" t="inlineStr">
        <is>
          <t>https://ticketsbox.com/offer/ (public offer clauses 1.13, 5.3, 9.4)
https://ticketsbox.com/organizatoram/ (organizers page (no prices))
https://internet-bilet.ua/uk/orgs (search snippet: organizers page)</t>
        </is>
      </c>
    </row>
    <row r="124">
      <c r="A124" s="2" t="inlineStr">
        <is>
          <t>СНГ без России, Израиль</t>
        </is>
      </c>
      <c r="B124" s="22" t="inlineStr">
        <is>
          <t>Ticketon.kz (Freedom Ticketon, Freedom Holding)</t>
        </is>
      </c>
      <c r="C124" s="2" t="inlineStr">
        <is>
          <t>https://ticketon.kz</t>
        </is>
      </c>
      <c r="D124" s="2" t="inlineStr">
        <is>
          <t>Kazakhstan (also ticketon.uz/.tj domains)</t>
        </is>
      </c>
      <c r="E124" s="2" t="inlineStr">
        <is>
          <t>KZT</t>
        </is>
      </c>
      <c r="F124" s="2" t="inlineStr">
        <is>
          <t>собирает на себя</t>
        </is>
      </c>
      <c r="G124" s="2" t="inlineStr">
        <is>
          <t>Resale rules mention funds held on a transit account of LLP Freedom Pay; organizer settlement revenue 'in real time' in a dashboard; payout timing not published.</t>
        </is>
      </c>
      <c r="H124" s="2" t="inlineStr">
        <is>
          <t>negotiated</t>
        </is>
      </c>
      <c r="I124" s="2" t="inlineStr">
        <is>
          <t>• Individual agreement:  — ticketing system, analytics, ticket validation app, integrations, promotion tools, Freedom ecosystem reach; start in 1-3 working days — organizer page has an FAQ entry 'What does it cost, and what is the commission?' but the answer was collapsed and not visible in the scraped text; no number published</t>
        </is>
      </c>
      <c r="J124" s="2" t="inlineStr"/>
      <c r="K124" s="2" t="inlineStr">
        <is>
          <t>включён: None; свой процессинг: False</t>
        </is>
      </c>
      <c r="L124" s="2" t="inlineStr">
        <is>
          <t>buyer service fee shown as separate line when applied (refund rules 2.2)</t>
        </is>
      </c>
      <c r="M124" s="2" t="inlineStr"/>
      <c r="N124" s="2" t="inlineStr">
        <is>
          <t>venues of any complexity supported</t>
        </is>
      </c>
      <c r="O124" s="2" t="inlineStr">
        <is>
          <t>not published</t>
        </is>
      </c>
      <c r="P124" s="2" t="inlineStr">
        <is>
          <t>Buyer return: service fee never refunded; if no service fee was applied, operator withholds 5% of nominal price as refund-processing/acquiring cost. Organizer cancellation: full refund, no deductions.</t>
        </is>
      </c>
      <c r="Q124" s="2" t="inlineStr">
        <is>
          <t>not stated</t>
        </is>
      </c>
      <c r="R124" s="2" t="inlineStr">
        <is>
          <t>• service fee is not applied to all orders; its presence and size are shown as a separate line before payment
• resale marketplace (Freedom Fan2Fan) has its own seller reward and operator commission</t>
        </is>
      </c>
      <c r="S124" s="2" t="inlineStr"/>
      <c r="T124" s="2" t="inlineStr">
        <is>
          <t>all by agreement; enquiry form (needs company registration number)</t>
        </is>
      </c>
      <c r="U124" s="2" t="inlineStr">
        <is>
          <t>No.1 ticket platform in Kazakhstan, 818 organizers, 67 cities in four countries (KZ, UZ, TJ, others); manager-led onboarding</t>
        </is>
      </c>
      <c r="V124" s="2" t="inlineStr">
        <is>
          <t>page</t>
        </is>
      </c>
      <c r="W124" s="2" t="inlineStr">
        <is>
          <t>https://ticketon.kz/en/organizer (organizer landing page)
https://ticketon.kz/cms/refund-rules (refund rules (5% withheld, service fee rules))</t>
        </is>
      </c>
    </row>
    <row r="125">
      <c r="A125" s="2" t="inlineStr">
        <is>
          <t>СНГ без России, Израиль</t>
        </is>
      </c>
      <c r="B125" s="22" t="inlineStr">
        <is>
          <t>Kassir.kz</t>
        </is>
      </c>
      <c r="C125" s="2" t="inlineStr">
        <is>
          <t>https://kassir.kz</t>
        </is>
      </c>
      <c r="D125" s="2" t="inlineStr">
        <is>
          <t>Kazakhstan</t>
        </is>
      </c>
      <c r="E125" s="2" t="inlineStr">
        <is>
          <t>KZT</t>
        </is>
      </c>
      <c r="F125" s="2" t="inlineStr">
        <is>
          <t>собирает на себя</t>
        </is>
      </c>
      <c r="G125" s="2" t="inlineStr">
        <is>
          <t>Public offer: the Seller (operator) sells on behalf of the rights holder; buyer pays card/Kaspi/instalments; organizer must sign an agreement via info@kassir.kz. Payout timing not published.</t>
        </is>
      </c>
      <c r="H125" s="2" t="inlineStr">
        <is>
          <t>negotiated</t>
        </is>
      </c>
      <c r="I125" s="2" t="inlineStr">
        <is>
          <t>• Agreement with organizer:  — online sales, QR e-tickets, turnstile/scanner integration, categories and prices, promo codes, live reports, card/Kaspi/instalments, support — commission not public</t>
        </is>
      </c>
      <c r="J125" s="2" t="inlineStr"/>
      <c r="K125" s="2" t="inlineStr">
        <is>
          <t>включён: True; свой процессинг: False; VISA, Mastercard, Kaspi, instalments</t>
        </is>
      </c>
      <c r="L125" s="2" t="inlineStr">
        <is>
          <t>buyer (service fee on top of ticket price)</t>
        </is>
      </c>
      <c r="M125" s="2" t="inlineStr"/>
      <c r="N125" s="2" t="inlineStr"/>
      <c r="O125" s="2" t="inlineStr">
        <is>
          <t>not published</t>
        </is>
      </c>
      <c r="P125" s="2" t="inlineStr">
        <is>
          <t>service fee non-refundable on buyer-initiated returns; refunded in full if event is cancelled or postponed (offer 5.4)</t>
        </is>
      </c>
      <c r="Q125" s="2" t="inlineStr">
        <is>
          <t>not stated</t>
        </is>
      </c>
      <c r="R125" s="2" t="inlineStr"/>
      <c r="S125" s="2" t="inlineStr"/>
      <c r="T125" s="2" t="inlineStr">
        <is>
          <t>contact info@kassir.kz</t>
        </is>
      </c>
      <c r="U125" s="2" t="inlineStr">
        <is>
          <t>Kazakh ticket operator; card, Kaspi and instalment payments; turnstile integration</t>
        </is>
      </c>
      <c r="V125" s="2" t="inlineStr">
        <is>
          <t>page</t>
        </is>
      </c>
      <c r="W125" s="2" t="inlineStr">
        <is>
          <t>https://kassir.kz/en/all/page/organizers (organizers page)
https://kassir.kz/en/all/page/offer (public offer, clauses 5.3-5.4)</t>
        </is>
      </c>
    </row>
    <row r="126">
      <c r="A126" s="2" t="inlineStr">
        <is>
          <t>СНГ без России, Израиль</t>
        </is>
      </c>
      <c r="B126" s="22" t="inlineStr">
        <is>
          <t>TKT.GE (TNET), Biletebi.ge, sTickets.ge</t>
        </is>
      </c>
      <c r="C126" s="2" t="inlineStr">
        <is>
          <t>https://tkt.ge ; https://biletebi.ge ; https://www.stickets.ge</t>
        </is>
      </c>
      <c r="D126" s="2" t="inlineStr">
        <is>
          <t>Georgia</t>
        </is>
      </c>
      <c r="E126" s="2" t="inlineStr">
        <is>
          <t>GEL</t>
        </is>
      </c>
      <c r="F126" s="2" t="inlineStr">
        <is>
          <t>собирает на себя</t>
        </is>
      </c>
      <c r="G126" s="2" t="inlineStr">
        <is>
          <t>Operators act as intermediaries between organizers and buyers (Biletebi terms); TKT.GE signs a service agreement before an event goes on sale (TNET terms snippet). Payout schedule not published.</t>
        </is>
      </c>
      <c r="H126" s="2" t="inlineStr">
        <is>
          <t>negotiated</t>
        </is>
      </c>
      <c r="I126" s="2" t="inlineStr">
        <is>
          <t>• TKT.GE organizer services (contract):  — web e-tickets, box offices, electronic seating plan, branded physical tickets, temporary box offices with cashiers and POS, account manager, organizer panel, controllers/scanners, event marketing, promo codes — no prices published on the organizers page; contact event@tkt.ge
• Biletebi.ge platform service fee:  — ticket generation (QR), support — fee paid by the buyer, set by the operator individually per event; non-refundable except if organizer denies the buyer or event is cancelled/postponed
• sTickets.ge:  — blockchain tickets, anti-counterfeit — organizer earns a 5% royalty on every resale; platform fee not published, contact info@stickets.ge</t>
        </is>
      </c>
      <c r="J126" s="2" t="inlineStr"/>
      <c r="K126" s="2" t="inlineStr">
        <is>
          <t>включён: None; свой процессинг: False</t>
        </is>
      </c>
      <c r="L126" s="2" t="inlineStr">
        <is>
          <t>buyer (service fee; TKT Club membership gives a discount on the service fee)</t>
        </is>
      </c>
      <c r="M126" s="2" t="inlineStr"/>
      <c r="N126" s="2" t="inlineStr">
        <is>
          <t>TKT.GE: seating plans for new halls prepared on request (price not published)</t>
        </is>
      </c>
      <c r="O126" s="2" t="inlineStr">
        <is>
          <t>not published</t>
        </is>
      </c>
      <c r="P126" s="2" t="inlineStr">
        <is>
          <t>Biletebi: platform service fee and transaction fee not refundable on returns except organizer denial/cancellation</t>
        </is>
      </c>
      <c r="Q126" s="2" t="inlineStr">
        <is>
          <t>not stated</t>
        </is>
      </c>
      <c r="R126" s="2" t="inlineStr">
        <is>
          <t>• TKT.GE lists box-office, cashier, controller and ad services without prices</t>
        </is>
      </c>
      <c r="S126" s="2" t="inlineStr">
        <is>
          <t>• {"name": "temporary box offices with cashiers/POS, branded tickets, controllers, ad bundles", "price": "not published"}</t>
        </is>
      </c>
      <c r="T126" s="2" t="inlineStr">
        <is>
          <t>contact sales: TKT.GE event@tkt.ge / +995 32 2195577</t>
        </is>
      </c>
      <c r="U126" s="2" t="inlineStr">
        <is>
          <t>Georgia: TKT.GE is the largest operator with box offices (Tbilisi Concert Hall, Batumi), account manager and controller services; Biletebi.ge is an e-ticket operator; sTickets is a new blockchain-based ticketing startup</t>
        </is>
      </c>
      <c r="V126" s="2" t="inlineStr">
        <is>
          <t>page</t>
        </is>
      </c>
      <c r="W126" s="2" t="inlineStr">
        <is>
          <t>https://tkt.ge/en/fororganizations (organizer services)
https://biletebi.ge/en/static-pages/terms-and-conditions (terms (platform service fee definition))
https://www.stickets.ge/organizers (5% resale royalty)
https://tktfly.ge/Home/Content/termsandconditions (search snippet: service agreement signed before listing)</t>
        </is>
      </c>
    </row>
    <row r="127">
      <c r="A127" s="2" t="inlineStr">
        <is>
          <t>СНГ без России, Израиль</t>
        </is>
      </c>
      <c r="B127" s="22" t="inlineStr">
        <is>
          <t>Tomsarkgh.am and TicketSystem.am</t>
        </is>
      </c>
      <c r="C127" s="2" t="inlineStr">
        <is>
          <t>https://www.tomsarkgh.am ; https://www.ticketsystem.am</t>
        </is>
      </c>
      <c r="D127" s="2" t="inlineStr">
        <is>
          <t>Armenia</t>
        </is>
      </c>
      <c r="E127" s="2" t="inlineStr">
        <is>
          <t>AMD</t>
        </is>
      </c>
      <c r="F127" s="2" t="inlineStr">
        <is>
          <t>собирает на себя</t>
        </is>
      </c>
      <c r="G127" s="2" t="inlineStr">
        <is>
          <t>Tomsarkgh user agreement: the company is an intermediary selling tickets for events run by the 'Service Provider' (organizer). TicketSystem: payments via integrated third-party providers. Payout terms not published.</t>
        </is>
      </c>
      <c r="H127" s="2" t="inlineStr">
        <is>
          <t>negotiated</t>
        </is>
      </c>
      <c r="I127" s="2" t="inlineStr">
        <is>
          <t>• Tomsarkgh / TicketSystem organizer terms:  — TicketSystem: hall/seat-map management, ticket categories, QR entry control online/offline, demo on request — no organizer prices on either site; Tomsarkgh organizers page returned 404</t>
        </is>
      </c>
      <c r="J127" s="2" t="inlineStr"/>
      <c r="K127" s="2" t="inlineStr">
        <is>
          <t>включён: None; свой процессинг: None</t>
        </is>
      </c>
      <c r="L127" s="2" t="inlineStr"/>
      <c r="M127" s="2" t="inlineStr"/>
      <c r="N127" s="2" t="inlineStr">
        <is>
          <t>TicketSystem: seat maps supported (price not public)</t>
        </is>
      </c>
      <c r="O127" s="2" t="inlineStr">
        <is>
          <t>not published</t>
        </is>
      </c>
      <c r="P127" s="2" t="inlineStr">
        <is>
          <t>TicketSystem: on a buyer return (up to 3 days before event) the company withholds 4% of the ticket price as a service fee; full refund if event is cancelled</t>
        </is>
      </c>
      <c r="Q127" s="2" t="inlineStr">
        <is>
          <t>not stated</t>
        </is>
      </c>
      <c r="R127" s="2" t="inlineStr"/>
      <c r="S127" s="2" t="inlineStr"/>
      <c r="T127" s="2" t="inlineStr">
        <is>
          <t>TicketSystem: contact +374 33499591 / demo</t>
        </is>
      </c>
      <c r="U127" s="2" t="inlineStr">
        <is>
          <t>Armenia: Tomsarkgh is the best-known operator (cinema, concerts, theatre); TicketSystem.am is a newer Armenian tech platform with seat maps and QR scanning</t>
        </is>
      </c>
      <c r="V127" s="2" t="inlineStr">
        <is>
          <t>page</t>
        </is>
      </c>
      <c r="W127" s="2" t="inlineStr">
        <is>
          <t>https://www.ticketsystem.am/en/terms-and-conditions (4% withheld on returns)
https://www.ticketsystem.am/en/for-organizers (organizer page, no prices)
https://www.tomsarkgh.am/ru/page/user-agreement (user agreement (intermediary role))</t>
        </is>
      </c>
    </row>
    <row r="128">
      <c r="A128" s="2" t="inlineStr">
        <is>
          <t>СНГ без России, Израиль</t>
        </is>
      </c>
      <c r="B128" s="22" t="inlineStr">
        <is>
          <t>iTicket.az, iTicket.uz, iTicket.md (iTicket group)</t>
        </is>
      </c>
      <c r="C128" s="2" t="inlineStr">
        <is>
          <t>https://iticket.az ; https://iticket.uz ; https://iticket.md</t>
        </is>
      </c>
      <c r="D128" s="2" t="inlineStr">
        <is>
          <t>Azerbaijan</t>
        </is>
      </c>
      <c r="E128" s="2" t="inlineStr">
        <is>
          <t>AZN</t>
        </is>
      </c>
      <c r="F128" s="2" t="inlineStr">
        <is>
          <t>собирает на себя</t>
        </is>
      </c>
      <c r="G128" s="2" t="inlineStr">
        <is>
          <t>sells on organizer's behalf; payments via online gateway (epoint). Terms not public.</t>
        </is>
      </c>
      <c r="H128" s="2" t="inlineStr">
        <is>
          <t>negotiated</t>
        </is>
      </c>
      <c r="I128" s="2" t="inlineStr">
        <is>
          <t>• Organizer terms:  — publishing and managing events on the platform, QR and paper tickets at sales points — not public; FAQ gives only return deductions (30% when returned &gt;48h before event on new date; 15% to reissue a lost physical ticket)</t>
        </is>
      </c>
      <c r="J128" s="2" t="inlineStr"/>
      <c r="K128" s="2" t="inlineStr">
        <is>
          <t>включён: None; свой процессинг: False</t>
        </is>
      </c>
      <c r="L128" s="2" t="inlineStr"/>
      <c r="M128" s="2" t="inlineStr"/>
      <c r="N128" s="2" t="inlineStr"/>
      <c r="O128" s="2" t="inlineStr">
        <is>
          <t>not published</t>
        </is>
      </c>
      <c r="P128" s="2" t="inlineStr">
        <is>
          <t>buyer return deductions in FAQ</t>
        </is>
      </c>
      <c r="Q128" s="2" t="inlineStr">
        <is>
          <t>not stated</t>
        </is>
      </c>
      <c r="R128" s="2" t="inlineStr"/>
      <c r="S128" s="2" t="inlineStr"/>
      <c r="T128" s="2" t="inlineStr">
        <is>
          <t>contact info@iticket.az</t>
        </is>
      </c>
      <c r="U128" s="2" t="inlineStr">
        <is>
          <t>Same-brand regional operators: online sales plus box-office points, delivery; iTicket.md also an organizer and distributor</t>
        </is>
      </c>
      <c r="V128" s="2" t="inlineStr">
        <is>
          <t>page</t>
        </is>
      </c>
      <c r="W128" s="2" t="inlineStr">
        <is>
          <t>https://iticket.az/en/page/faq (FAQ (returns percentages))</t>
        </is>
      </c>
    </row>
    <row r="129">
      <c r="A129" s="2" t="inlineStr">
        <is>
          <t>СНГ без России, Израиль</t>
        </is>
      </c>
      <c r="B129" s="22" t="inlineStr">
        <is>
          <t>iTicket.az, iTicket.uz, iTicket.md (iTicket group)</t>
        </is>
      </c>
      <c r="C129" s="2" t="inlineStr">
        <is>
          <t>https://iticket.az ; https://iticket.uz ; https://iticket.md</t>
        </is>
      </c>
      <c r="D129" s="2" t="inlineStr">
        <is>
          <t>Moldova</t>
        </is>
      </c>
      <c r="E129" s="2" t="inlineStr">
        <is>
          <t>MDL</t>
        </is>
      </c>
      <c r="F129" s="2" t="inlineStr">
        <is>
          <t>собирает на себя</t>
        </is>
      </c>
      <c r="G129" s="2" t="inlineStr">
        <is>
          <t>iTicket.md acts as organizer or intermediary; collects from buyers. Payout terms not published.</t>
        </is>
      </c>
      <c r="H129" s="2" t="inlineStr">
        <is>
          <t>negotiated</t>
        </is>
      </c>
      <c r="I129" s="2" t="inlineStr">
        <is>
          <t>• Buyer administration fee: 2.0% — ticket issuing and processing — terms clause 4.1: administration fees 'starting from 2%' of order value, applied in certain cases, shown at final booking stage; organizer commission not published</t>
        </is>
      </c>
      <c r="J129" s="2" t="inlineStr"/>
      <c r="K129" s="2" t="inlineStr">
        <is>
          <t>включён: None; свой процессинг: False</t>
        </is>
      </c>
      <c r="L129" s="2" t="inlineStr">
        <is>
          <t>buyer</t>
        </is>
      </c>
      <c r="M129" s="2" t="inlineStr"/>
      <c r="N129" s="2" t="inlineStr"/>
      <c r="O129" s="2" t="inlineStr">
        <is>
          <t>not published</t>
        </is>
      </c>
      <c r="P129" s="2" t="inlineStr">
        <is>
          <t>fees not refunded; card refunds 90/80/70/50% of ticket value depending on time to event; cash withdrawal from an iTicket account costs 20%</t>
        </is>
      </c>
      <c r="Q129" s="2" t="inlineStr">
        <is>
          <t>not stated</t>
        </is>
      </c>
      <c r="R129" s="2" t="inlineStr">
        <is>
          <t>• iTicket.md has a separate 'iTicket.events' organizer product link (could not be opened - too many redirects)</t>
        </is>
      </c>
      <c r="S129" s="2" t="inlineStr"/>
      <c r="T129" s="2" t="inlineStr">
        <is>
          <t>sales@iticket.md</t>
        </is>
      </c>
      <c r="U129" s="2" t="inlineStr">
        <is>
          <t>Same-brand regional operators: online sales plus box-office points, delivery; iTicket.md also an organizer and distributor</t>
        </is>
      </c>
      <c r="V129" s="2" t="inlineStr">
        <is>
          <t>page</t>
        </is>
      </c>
      <c r="W129" s="2" t="inlineStr">
        <is>
          <t>https://iticket.md/page/conditii (terms and conditions clauses 2.4, 4.1-4.2, 5.4, 5.10)</t>
        </is>
      </c>
    </row>
    <row r="130">
      <c r="A130" s="2" t="inlineStr">
        <is>
          <t>СНГ без России, Израиль</t>
        </is>
      </c>
      <c r="B130" s="22" t="inlineStr">
        <is>
          <t>iTicket.az, iTicket.uz, iTicket.md (iTicket group)</t>
        </is>
      </c>
      <c r="C130" s="2" t="inlineStr">
        <is>
          <t>https://iticket.az ; https://iticket.uz ; https://iticket.md</t>
        </is>
      </c>
      <c r="D130" s="2" t="inlineStr">
        <is>
          <t>Uzbekistan</t>
        </is>
      </c>
      <c r="E130" s="2" t="inlineStr">
        <is>
          <t>UZS</t>
        </is>
      </c>
      <c r="F130" s="2" t="inlineStr">
        <is>
          <t>собирает на себя</t>
        </is>
      </c>
      <c r="G130" s="2" t="inlineStr">
        <is>
          <t>iTicket.uz states in its Telegram that it is not the event organizer and provides ticket-sale services (snippet). No terms read.</t>
        </is>
      </c>
      <c r="H130" s="2" t="inlineStr">
        <is>
          <t>negotiated</t>
        </is>
      </c>
      <c r="I130" s="2" t="inlineStr"/>
      <c r="J130" s="2" t="inlineStr"/>
      <c r="K130" s="2" t="inlineStr">
        <is>
          <t>включён: None; свой процессинг: None</t>
        </is>
      </c>
      <c r="L130" s="2" t="inlineStr"/>
      <c r="M130" s="2" t="inlineStr"/>
      <c r="N130" s="2" t="inlineStr"/>
      <c r="O130" s="2" t="inlineStr"/>
      <c r="P130" s="2" t="inlineStr"/>
      <c r="Q130" s="2" t="inlineStr"/>
      <c r="R130" s="2" t="inlineStr"/>
      <c r="S130" s="2" t="inlineStr"/>
      <c r="T130" s="2" t="inlineStr"/>
      <c r="U130" s="2" t="inlineStr">
        <is>
          <t>Same-brand regional operators: online sales plus box-office points, delivery; iTicket.md also an organizer and distributor</t>
        </is>
      </c>
      <c r="V130" s="2" t="inlineStr">
        <is>
          <t>snippet</t>
        </is>
      </c>
      <c r="W130" s="2" t="inlineStr">
        <is>
          <t>https://t.me/s/iticket_uz?before=1696 (search snippet)</t>
        </is>
      </c>
    </row>
    <row r="131">
      <c r="A131" s="2" t="inlineStr">
        <is>
          <t>СНГ без России, Израиль</t>
        </is>
      </c>
      <c r="B131" s="22" t="inlineStr">
        <is>
          <t>Ticketpro.by, Bezkassira.by, 24afisha / Bycard (Belarus)</t>
        </is>
      </c>
      <c r="C131" s="2" t="inlineStr">
        <is>
          <t>https://www.ticketpro.by ; https://bezkassira.by ; https://24afisha.by</t>
        </is>
      </c>
      <c r="D131" s="2" t="inlineStr">
        <is>
          <t>Belarus</t>
        </is>
      </c>
      <c r="E131" s="2" t="inlineStr">
        <is>
          <t>BYN</t>
        </is>
      </c>
      <c r="F131" s="2" t="inlineStr">
        <is>
          <t>собирает на себя</t>
        </is>
      </c>
      <c r="G131" s="2" t="inlineStr">
        <is>
          <t>Ticketpro and 24afisha sell as agent/realiser on behalf of the organizer under contract; Bezkassira charges buyers at cash points. Payout terms not published.</t>
        </is>
      </c>
      <c r="H131" s="2" t="inlineStr">
        <is>
          <t>mixed</t>
        </is>
      </c>
      <c r="I131" s="2" t="inlineStr">
        <is>
          <t>• Bezkassira buyer service fee (cash points): 5.0% +1.0 мин 1.0 — service fee added to the organizer's ticket price (min 1 BYN, quoted as 5% of price); a separate 2.5 BYN per ticket cash-point fee at the kiosk — page text: 'from 1 BYN (5% of ticket price)' - read as minimum 1 BYN or 5%
• 24afisha buyer service fee: мин 0.7 — fee for electronic ticket issue, from 0.7 (truncated snippet) — search snippet only, truncated after 'from 0,7'
• Ticketpro corporate offer:  — service fee agreed per invoice for legal-entity bulk buyers — service fee not refundable on returns</t>
        </is>
      </c>
      <c r="J131" s="2" t="inlineStr"/>
      <c r="K131" s="2" t="inlineStr">
        <is>
          <t>включён: None; свой процессинг: None</t>
        </is>
      </c>
      <c r="L131" s="2" t="inlineStr">
        <is>
          <t>buyer</t>
        </is>
      </c>
      <c r="M131" s="2" t="inlineStr"/>
      <c r="N131" s="2" t="inlineStr">
        <is>
          <t>24ats: pre-drawn hall maps, quotas per ticket operator</t>
        </is>
      </c>
      <c r="O131" s="2" t="inlineStr">
        <is>
          <t>not published</t>
        </is>
      </c>
      <c r="P131" s="2" t="inlineStr">
        <is>
          <t>service fee not refundable</t>
        </is>
      </c>
      <c r="Q131" s="2" t="inlineStr">
        <is>
          <t>not stated</t>
        </is>
      </c>
      <c r="R131" s="2" t="inlineStr">
        <is>
          <t>• an AIF article of 2018 noted online purchase fee of ~1 BYN on a 7 BYN ticket (~15%)
• Kvitki.by reported in liquidation (Facebook post)</t>
        </is>
      </c>
      <c r="S131" s="2" t="inlineStr"/>
      <c r="T131" s="2" t="inlineStr">
        <is>
          <t>contract</t>
        </is>
      </c>
      <c r="U131" s="2" t="inlineStr">
        <is>
          <t>Belarus: Ticketpro (promoters/partners), Bezkassira (self-serve plus cash points), 24afisha (Arcom group, 24ats system, 60+ cinemas/theatres/sports venues)</t>
        </is>
      </c>
      <c r="V131" s="2" t="inlineStr">
        <is>
          <t>page</t>
        </is>
      </c>
      <c r="W131" s="2" t="inlineStr">
        <is>
          <t>https://bezkassira.by/sale_points/ (cash points fee description)
https://www.ticketpro.by/publichnaya-oferta-na-realizaciyu-biletov-dlya-yuridicheskix-lic/ (public offer, service fee definition)
https://24afisha.by/ru/pages/contract-offer (search snippet: service fee from 0,7 (page not readable))
https://bycard.by/pages/fororganizer (organizer page, no prices)</t>
        </is>
      </c>
    </row>
    <row r="132">
      <c r="A132" s="2" t="inlineStr">
        <is>
          <t>СНГ без России, Израиль</t>
        </is>
      </c>
      <c r="B132" s="22" t="inlineStr">
        <is>
          <t>Ticket.kg (Kyrgyzstan)</t>
        </is>
      </c>
      <c r="C132" s="2" t="inlineStr">
        <is>
          <t>https://ticket.kg</t>
        </is>
      </c>
      <c r="D132" s="2" t="inlineStr">
        <is>
          <t>Kyrgyzstan</t>
        </is>
      </c>
      <c r="E132" s="2" t="inlineStr">
        <is>
          <t>KGS</t>
        </is>
      </c>
      <c r="F132" s="2" t="inlineStr">
        <is>
          <t>собирает на себя</t>
        </is>
      </c>
      <c r="G132" s="2" t="inlineStr">
        <is>
          <t>not verified; offer and organizer terms not readable</t>
        </is>
      </c>
      <c r="H132" s="2" t="inlineStr">
        <is>
          <t>negotiated</t>
        </is>
      </c>
      <c r="I132" s="2" t="inlineStr"/>
      <c r="J132" s="2" t="inlineStr"/>
      <c r="K132" s="2" t="inlineStr">
        <is>
          <t>включён: None; свой процессинг: None</t>
        </is>
      </c>
      <c r="L132" s="2" t="inlineStr"/>
      <c r="M132" s="2" t="inlineStr"/>
      <c r="N132" s="2" t="inlineStr"/>
      <c r="O132" s="2" t="inlineStr"/>
      <c r="P132" s="2" t="inlineStr"/>
      <c r="Q132" s="2" t="inlineStr"/>
      <c r="R132" s="2" t="inlineStr"/>
      <c r="S132" s="2" t="inlineStr"/>
      <c r="T132" s="2" t="inlineStr">
        <is>
          <t>organizer contact via phone/e-mail in footer</t>
        </is>
      </c>
      <c r="U132" s="2" t="inlineStr">
        <is>
          <t>first ticket operator in Kyrgyzstan, cash desks and app</t>
        </is>
      </c>
      <c r="V132" s="2" t="inlineStr">
        <is>
          <t>page</t>
        </is>
      </c>
      <c r="W132" s="2" t="inlineStr">
        <is>
          <t>https://ticket.kg/en (home page: offer and organizer links only)</t>
        </is>
      </c>
    </row>
    <row r="133">
      <c r="A133" s="2" t="inlineStr">
        <is>
          <t>СНГ без России, Израиль</t>
        </is>
      </c>
      <c r="B133" s="22" t="inlineStr">
        <is>
          <t>Eventer (Eventer Technologies Ltd, TSXV-listed)</t>
        </is>
      </c>
      <c r="C133" s="2" t="inlineStr">
        <is>
          <t>https://www.eventer.co.il</t>
        </is>
      </c>
      <c r="D133" s="2" t="inlineStr">
        <is>
          <t>Israel</t>
        </is>
      </c>
      <c r="E133" s="2" t="inlineStr">
        <is>
          <t>ILS</t>
        </is>
      </c>
      <c r="F133" s="2" t="inlineStr">
        <is>
          <t>собирает на себя</t>
        </is>
      </c>
      <c r="G133" s="2" t="inlineStr">
        <is>
          <t>Terms: displayed price includes the seller's share and the site's brokerage/advertising commission; the site charges the buyer and transfers the payment to the seller net of the brokerage commission; clearing happens after the seller approves the order. Payout timing after collection not stated.</t>
        </is>
      </c>
      <c r="H133" s="2" t="inlineStr">
        <is>
          <t>percent</t>
        </is>
      </c>
      <c r="I133" s="2" t="inlineStr">
        <is>
          <t>• Commission (rate not published):  — ticketing, payment processing, settlement — a 'fees' page (/ttpv3) exists but is rendered client-side and returned empty; company filings describe revenue as commissions from ticket sales</t>
        </is>
      </c>
      <c r="J133" s="2" t="inlineStr"/>
      <c r="K133" s="2" t="inlineStr">
        <is>
          <t>включён: True; свой процессинг: None</t>
        </is>
      </c>
      <c r="L133" s="2" t="inlineStr">
        <is>
          <t>buyer sees price including commission (inclusive price)</t>
        </is>
      </c>
      <c r="M133" s="2" t="inlineStr"/>
      <c r="N133" s="2" t="inlineStr"/>
      <c r="O133" s="2" t="inlineStr">
        <is>
          <t>net of commission after collection; timing not published</t>
        </is>
      </c>
      <c r="P133" s="2" t="inlineStr">
        <is>
          <t>buyer cancellation fee '5% or NIS 100' charged when refund is made (terms; mirrors Consumer Protection Law)</t>
        </is>
      </c>
      <c r="Q133" s="2" t="inlineStr">
        <is>
          <t>not stated</t>
        </is>
      </c>
      <c r="R133" s="2" t="inlineStr">
        <is>
          <t>• cancellation fee 5% or 100 NIS in terms of use</t>
        </is>
      </c>
      <c r="S133" s="2" t="inlineStr"/>
      <c r="T133" s="2" t="inlineStr">
        <is>
          <t>contact via 'start selling' page</t>
        </is>
      </c>
      <c r="U133" s="2" t="inlineStr">
        <is>
          <t>Israeli SaaS ticketing for producers and venues (traditional and online events); revenue is ticket-sales commissions</t>
        </is>
      </c>
      <c r="V133" s="2" t="inlineStr">
        <is>
          <t>page</t>
        </is>
      </c>
      <c r="W133" s="2" t="inlineStr">
        <is>
          <t>https://www.eventer.co.il/routes/imcRegulations.html (terms of use: commission inclusive in price, net payout, cancellation fee)
https://www.eventer.co.il/ttpv3 (fees page, empty template when scraped)
https://www.nasdaq.com/press-release/ldb-capital-corp-announces-definitive-agreement-proposed-qualifying-transaction (search snippet: primary revenue is ticket sales commissions)</t>
        </is>
      </c>
    </row>
    <row r="134">
      <c r="A134" s="2" t="inlineStr">
        <is>
          <t>СНГ без России, Израиль</t>
        </is>
      </c>
      <c r="B134" s="22" t="inlineStr">
        <is>
          <t>SmarTicket, Leaan, Eventim Israel / Zappa, TixWise (Israel)</t>
        </is>
      </c>
      <c r="C134" s="2" t="inlineStr">
        <is>
          <t>https://www.smarticket.co.il ; https://www.leaan.co.il ; https://www.eventim.co.il ; https://www.tixwise.co.il</t>
        </is>
      </c>
      <c r="D134" s="2" t="inlineStr">
        <is>
          <t>Israel</t>
        </is>
      </c>
      <c r="E134" s="2" t="inlineStr">
        <is>
          <t>ILS</t>
        </is>
      </c>
      <c r="F134" s="2" t="inlineStr">
        <is>
          <t>собирает на себя</t>
        </is>
      </c>
      <c r="G134" s="2" t="inlineStr">
        <is>
          <t>SmarTicket: pricing by quote only (contact form/phone); Leaan and Zappa act as ticket agents for producers (not verified). Eventim terms: ticket company may charge a handling fee of NIS 5 per ticket/merchandise/service in an order (buyer).</t>
        </is>
      </c>
      <c r="H134" s="2" t="inlineStr">
        <is>
          <t>mixed</t>
        </is>
      </c>
      <c r="I134" s="2" t="inlineStr">
        <is>
          <t>• Eventim Israel buyer handling fee: +5.0 — handling fee per ticket, merchandise or other service — from search snippet of eventim.co.il/help/terms; page timed out
• TixWise (2010, historical): 7.0% +4.0 — 7% per ticket up to NIS 100; above NIS 100: NIS 4 plus 3%; organizer may pass it on to buyers — Ynet article dated 2010-08-20, almost certainly outdated
• SmarTicket:  — ticket and subscription management for culture, leisure, sport; all sales channels — pricing by contact only</t>
        </is>
      </c>
      <c r="J134" s="2" t="inlineStr"/>
      <c r="K134" s="2" t="inlineStr">
        <is>
          <t>включён: None; свой процессинг: None</t>
        </is>
      </c>
      <c r="L134" s="2" t="inlineStr">
        <is>
          <t>buyer (Eventim handling fee); TixWise: organizer or buyer</t>
        </is>
      </c>
      <c r="M134" s="2" t="inlineStr"/>
      <c r="N134" s="2" t="inlineStr"/>
      <c r="O134" s="2" t="inlineStr">
        <is>
          <t>not published</t>
        </is>
      </c>
      <c r="P134" s="2" t="inlineStr">
        <is>
          <t>a class action against Zappa for not refunding cancelled concerts was approved in 2022 (Calcalist, 2022-04-03)</t>
        </is>
      </c>
      <c r="Q134" s="2" t="inlineStr">
        <is>
          <t>not stated</t>
        </is>
      </c>
      <c r="R134" s="2" t="inlineStr"/>
      <c r="S134" s="2" t="inlineStr"/>
      <c r="T134" s="2" t="inlineStr">
        <is>
          <t>SmarTicket: contact form 0722720770; Eventim B2B for venues</t>
        </is>
      </c>
      <c r="U134" s="2" t="inlineStr">
        <is>
          <t>SmarTicket: theatres, museums, municipalities (350+ clients); Leaan: 50-year ticket office; Eventim Israel/Zappa: largest concert ticketing (Eventim JV); TixWise: 2010 self-serve startup, site now a content blog</t>
        </is>
      </c>
      <c r="V134" s="2" t="inlineStr">
        <is>
          <t>snippet</t>
        </is>
      </c>
      <c r="W134" s="2" t="inlineStr">
        <is>
          <t>https://www.smarticket.co.il/ (pricing not public, customers list)
https://www.eventim.co.il/help/terms/ (search snippet: NIS 5 handling fee)
https://www.ynet.co.il/articles/0,7340,L-3940620,00.html (TixWise 2010 article)</t>
        </is>
      </c>
    </row>
    <row r="135">
      <c r="A135" s="2" t="inlineStr">
        <is>
          <t>Латинская Америка</t>
        </is>
      </c>
      <c r="B135" s="22" t="inlineStr">
        <is>
          <t>Sympla</t>
        </is>
      </c>
      <c r="C135" s="2" t="inlineStr">
        <is>
          <t>https://www.sympla.com.br</t>
        </is>
      </c>
      <c r="D135" s="2" t="inlineStr">
        <is>
          <t>Brazil</t>
        </is>
      </c>
      <c r="E135" s="2" t="inlineStr">
        <is>
          <t>BRL</t>
        </is>
      </c>
      <c r="F135" s="2" t="inlineStr">
        <is>
          <t>собирает на себя</t>
        </is>
      </c>
      <c r="G135" s="2" t="inlineStr">
        <is>
          <t>Sympla collects buyer payments (Pix, card, boleto) and pays the producer automatically on the 3rd business day AFTER the event; fee is netted from the payout. Optional advance of up to 80% of confirmed sales for 3.49%.</t>
        </is>
      </c>
      <c r="H135" s="2" t="inlineStr">
        <is>
          <t>percent</t>
        </is>
      </c>
      <c r="I135" s="2" t="inlineStr">
        <is>
          <t>• Paid events (standard): 10% мин 3.99 — Service fee 10% per ticket sold; tickets up to R$39.90 pay a fixed minimum R$3.99. No setup, no monthly, no adhesion fee. Check-in, attendee mgmt, ticket delivery included. — Producer chooses per event whether to absorb or pass the 10% to the buyer (must be set before publishing; locked after first sale). Plus a payment-processing fee of 2% to 2.5% per ticket (varies by Pix/card/boleto). Pricing page says processing cannot be passed on; the buyer help-centre article (updated 2026-10-05) says processing is ALWAYS paid by the buyer (worked example: R$100 absorbed -&gt; buyer pays R$102.50, producer gets R$90.00; passed -&gt; buyer pays R$112.75, producer gets R$100.00; R$30 passed -&gt; buyer R$34.84). The two Sympla pages are therefore inconsistent.
• Free events: 0% +0 — Zero fee for free tickets, in-person or online.
• Seated events (lugar marcado): 15% — Seat map events. — Shown as 'taxas a partir de 15%' (from); contact a consultant for a quote, so exact rate is not public.</t>
        </is>
      </c>
      <c r="J135" s="2" t="inlineStr"/>
      <c r="K135" s="2" t="inlineStr">
        <is>
          <t>включён: False; свой процессинг: False; Pix, credit card (up to 12x), boleto; Processing 2% to 2.5% per ticket on top of the 10% service fee. Card installments up to 12x with interest of 3.49%/month paid by the buyer (third-party source, institutoitinerante.com.br, May 2026).; доп. сбор: 2% to 2.5%</t>
        </is>
      </c>
      <c r="L135" s="2" t="inlineStr">
        <is>
          <t>configurable</t>
        </is>
      </c>
      <c r="M135" s="2" t="inlineStr">
        <is>
          <t>Free events and free tickets: zero fee.</t>
        </is>
      </c>
      <c r="N135" s="2" t="inlineStr">
        <is>
          <t>Seated events from 15% (contact consultant).</t>
        </is>
      </c>
      <c r="O135" s="2" t="inlineStr">
        <is>
          <t>Automatic payout on the 3rd business day after the event ends, to a registered bank account. Advance ('Adiantamento de repasse'): 3.49% of requested amount, 20/40/60/80% of confirmed sales, min R$300, request at least 4 days before the event, subject to Sympla risk approval, answer in up to 3 business days, funds within 1 business day. Not available for private or on-demand events.</t>
        </is>
      </c>
      <c r="P135" s="2" t="inlineStr">
        <is>
          <t>Buyer withdrawal right under Brazilian CDC (7 days, at least 48h before event). Complaints on Reclame Aqui indicate the service fee is not always refunded (not verified on Sympla's own page).</t>
        </is>
      </c>
      <c r="Q135" s="2" t="inlineStr">
        <is>
          <t>No ISS/PIS/COFINS mentioned on the public fee pages. Sympla issues the producer a payout statement (borderô) and says it handles invoicing of its fee; producer is responsible for taxes on ticket revenue (not explicitly stated for Sympla).</t>
        </is>
      </c>
      <c r="R135" s="2" t="inlineStr">
        <is>
          <t>• Fee is configured per event BEFORE publishing; changing after sales start 'generates inconsistencies'
• State laws override the pass-on option: Acre and Roraima ban any online convenience fee (producer must absorb, set automatically); Espirito Santo requires a no-fee alternative channel unless event &lt;=200 people; Alagoas caps at 10% and requires no-fee sales points; Fortaleza 'Ingresso Justo' law requires one fee-free channel; Rio de Janeiro state law regulates fees
• Half-price (meia-entrada) quota of 40% is mandatory by federal law 12.933/2013 (affects revenue, not the fee)</t>
        </is>
      </c>
      <c r="S135" s="2" t="inlineStr">
        <is>
          <t>• {"name": "Advance payout", "price": "3.49% of amount advanced"}</t>
        </is>
      </c>
      <c r="T135" s="2" t="inlineStr">
        <is>
          <t>Consultant contact for seated events and volume; no public volume discounts.</t>
        </is>
      </c>
      <c r="U135" s="2" t="inlineStr">
        <is>
          <t>Brazil market leader, self-serve, shows/festas/teatro/cursos/congressos, marketplace with own traffic (owned by Prosus)</t>
        </is>
      </c>
      <c r="V135" s="2" t="inlineStr">
        <is>
          <t>page</t>
        </is>
      </c>
      <c r="W135" s="2" t="inlineStr">
        <is>
          <t>https://produtores.sympla.com.br/quanto-custa/ (pricing page)
https://ajuda.sympla.com.br/hc/pt-br/articles/204767415-Taxas-da-Sympla-para-Organizadores-Valores-e-Como-Funcionam (fee help article (updated 2026-10-05) with state laws and examples)
https://ajuda.produtor.sympla.com.br/hc/pt-br/articles/33630645675149-Adiantamento-de-Repasse-na-Sympla (payout advance article)
https://institutoitinerante.com.br/blog/vender-ingressos-online-sem-sympla-alternativas (third-party comparison (installment interest, payout))</t>
        </is>
      </c>
    </row>
    <row r="136">
      <c r="A136" s="2" t="inlineStr">
        <is>
          <t>Латинская Америка</t>
        </is>
      </c>
      <c r="B136" s="22" t="inlineStr">
        <is>
          <t>Even3</t>
        </is>
      </c>
      <c r="C136" s="2" t="inlineStr">
        <is>
          <t>https://www.even3.com.br</t>
        </is>
      </c>
      <c r="D136" s="2" t="inlineStr">
        <is>
          <t>Brazil</t>
        </is>
      </c>
      <c r="E136" s="2" t="inlineStr">
        <is>
          <t>BRL</t>
        </is>
      </c>
      <c r="F136" s="2" t="inlineStr">
        <is>
          <t>собирает на себя</t>
        </is>
      </c>
      <c r="G136" s="2" t="inlineStr">
        <is>
          <t>Even3 collects; money available 10 days after each payment (even if installment), organizer can request transfer anytime after that, no need to wait for event end.</t>
        </is>
      </c>
      <c r="H136" s="2" t="inlineStr">
        <is>
          <t>percent</t>
        </is>
      </c>
      <c r="I136" s="2" t="inlineStr">
        <is>
          <t>• Paid registrations: 10% мин 2.5 — 10% on paid registrations, no monthly or setup fee. Processing fee reportedly included. Can pass all fees on to buyers. — Minimum R$2.50 per registration comes from a third-party comparison (institutoitinerante.com.br), not the official page. Small extra fee per submitted scientific paper. Free events pay no fee but a small fee applies for certificate download on free events (free for up to 90 days after the event for some).
• Annual plan:  — Annual plan with lower rates for organizers with many events. — Contact sales; price not public.</t>
        </is>
      </c>
      <c r="J136" s="2" t="inlineStr"/>
      <c r="K136" s="2" t="inlineStr">
        <is>
          <t>включён: True; свой процессинг: False; credit card (cash or installments), Pix, boleto, international cards; Included in the 10% per official page.</t>
        </is>
      </c>
      <c r="L136" s="2" t="inlineStr">
        <is>
          <t>configurable</t>
        </is>
      </c>
      <c r="M136" s="2" t="inlineStr">
        <is>
          <t>Free events: no registration fees.</t>
        </is>
      </c>
      <c r="N136" s="2" t="inlineStr"/>
      <c r="O136" s="2" t="inlineStr">
        <is>
          <t>Withdrawal possible 10 days after payment confirmation, unlimited number of transfers. Advance available with risk approval once there are R$1,000 of sales (anticipation fee ~3% per uticket third-party; at least 5 business days between requests). Refunds handled by Even3 within 2 business days.</t>
        </is>
      </c>
      <c r="P136" s="2" t="inlineStr">
        <is>
          <t>Even3 runs the whole refund process on organizer's request, returns money within 2 business days.</t>
        </is>
      </c>
      <c r="Q136" s="2" t="inlineStr">
        <is>
          <t>Not stated.</t>
        </is>
      </c>
      <c r="R136" s="2" t="inlineStr">
        <is>
          <t>• Paper-submission fee per work
• Certificate-download fee for free events</t>
        </is>
      </c>
      <c r="S136" s="2" t="inlineStr"/>
      <c r="T136" s="2" t="inlineStr">
        <is>
          <t>Annual plan by quote.</t>
        </is>
      </c>
      <c r="U136" s="2" t="inlineStr">
        <is>
          <t>Academic/scientific congresses, courses and corporate events (paper submission, certificates)</t>
        </is>
      </c>
      <c r="V136" s="2" t="inlineStr">
        <is>
          <t>page</t>
        </is>
      </c>
      <c r="W136" s="2" t="inlineStr">
        <is>
          <t>https://www.even3.com.br/como-funciona/planos-e-precos/ (pricing page)
https://institutoitinerante.com.br/blog/vender-ingressos-online-sem-sympla-alternativas (third-party comparison (min R$2.50))
https://uticket.com.br/blog/comparando-taxas-de-plataformas-de-ingressos/ (competitor blog (anticipation 3%))</t>
        </is>
      </c>
    </row>
    <row r="137">
      <c r="A137" s="2" t="inlineStr">
        <is>
          <t>Латинская Америка</t>
        </is>
      </c>
      <c r="B137" s="22" t="inlineStr">
        <is>
          <t>Blacktag</t>
        </is>
      </c>
      <c r="C137" s="2" t="inlineStr">
        <is>
          <t>https://blacktag.com.br</t>
        </is>
      </c>
      <c r="D137" s="2" t="inlineStr">
        <is>
          <t>Brazil</t>
        </is>
      </c>
      <c r="E137" s="2" t="inlineStr">
        <is>
          <t>BRL</t>
        </is>
      </c>
      <c r="F137" s="2" t="inlineStr">
        <is>
          <t>собирает на себя</t>
        </is>
      </c>
      <c r="G137" s="2" t="inlineStr">
        <is>
          <t>Blacktag holds the money as custodian; payout of total sold minus service fee on the 3rd business day after the organizer requests it. If the event date entered differs from reality, payout can be postponed to 3rd business day after the actual end. May hold funds for refunds/complaints/fraud and offset against the organizer's other events.</t>
        </is>
      </c>
      <c r="H137" s="2" t="inlineStr">
        <is>
          <t>percent</t>
        </is>
      </c>
      <c r="I137" s="2" t="inlineStr">
        <is>
          <t>• Standard: 12% мин 3.0 — 12% service fee, min R$3.00 per paid ticket. Free tickets are fee-free (cl. 13.7). — Terms document is dated 2021-01-06, so the rate may have changed. Rate 12% / R$3 min also quoted by Festivalando-style comparisons (tikzet.com blog, 2026-07). Terms do not mention a separate processing fee.</t>
        </is>
      </c>
      <c r="J137" s="2" t="inlineStr"/>
      <c r="K137" s="2" t="inlineStr">
        <is>
          <t>включён: None; свой процессинг: False; Terms mention no separate processing fee.</t>
        </is>
      </c>
      <c r="L137" s="2" t="inlineStr">
        <is>
          <t>buyer</t>
        </is>
      </c>
      <c r="M137" s="2" t="inlineStr">
        <is>
          <t>Free tickets carry no fee.</t>
        </is>
      </c>
      <c r="N137" s="2" t="inlineStr">
        <is>
          <t>Home page lists seat marking ('Marcacao de assento') as a feature; price not published.</t>
        </is>
      </c>
      <c r="O137" s="2" t="inlineStr">
        <is>
          <t>3rd business day after request/event end. Blacktag can retain funds for pending refunds, complaints, suspected fraud and offset them from other events of the same organizer.</t>
        </is>
      </c>
      <c r="P137" s="2" t="inlineStr">
        <is>
          <t>Chargebacks (estornos) are the organizer's responsibility regardless of reason (cl. 12.2). Organizer must refund consumers if event is cancelled; Blacktag can refund without notice and charge the organizer. Organizer may request cancellation/refund until the 2nd business day after the event; consumer 7-day withdrawal must be refunded within 7 days.</t>
        </is>
      </c>
      <c r="Q137" s="2" t="inlineStr">
        <is>
          <t>Blacktag invoices its service fee in the first week of the following month; organizer responsible for taxes on total sold.</t>
        </is>
      </c>
      <c r="R137" s="2" t="inlineStr">
        <is>
          <t>• Terms dated 2021 - verify current rate
• Cross-event funds retention clause (cl. 11.4 / 13.6.2)</t>
        </is>
      </c>
      <c r="S137" s="2" t="inlineStr"/>
      <c r="T137" s="2" t="inlineStr"/>
      <c r="U137" s="2" t="inlineStr">
        <is>
          <t>Youth/university parties, graduations (formaturas), student associations (atleticas)</t>
        </is>
      </c>
      <c r="V137" s="2" t="inlineStr">
        <is>
          <t>page</t>
        </is>
      </c>
      <c r="W137" s="2" t="inlineStr">
        <is>
          <t>https://blacktag.com.br/termos-e-politicas/organizador (organizer terms (dated 2021-01-06))
https://www.tikzet.com/blog/taxa-de-servico-ingressos-brasil (third-party comparison)</t>
        </is>
      </c>
    </row>
    <row r="138">
      <c r="A138" s="2" t="inlineStr">
        <is>
          <t>Латинская Америка</t>
        </is>
      </c>
      <c r="B138" s="22" t="inlineStr">
        <is>
          <t>Shotgun (Brazil)</t>
        </is>
      </c>
      <c r="C138" s="2" t="inlineStr">
        <is>
          <t>https://shotgun.live</t>
        </is>
      </c>
      <c r="D138" s="2" t="inlineStr">
        <is>
          <t>Brazil</t>
        </is>
      </c>
      <c r="E138" s="2" t="inlineStr">
        <is>
          <t>BRL</t>
        </is>
      </c>
      <c r="F138" s="2" t="inlineStr">
        <is>
          <t>собирает на себя</t>
        </is>
      </c>
      <c r="G138" s="2" t="inlineStr">
        <is>
          <t>Inferred: help centre has an article 'Transferir fundos de um evento para sua conta bancaria' (transfer of event funds to your bank account), i.e. Shotgun holds and then transfers. Payout timing not read.</t>
        </is>
      </c>
      <c r="H138" s="2" t="inlineStr">
        <is>
          <t>percent</t>
        </is>
      </c>
      <c r="I138" s="2" t="inlineStr">
        <is>
          <t>• Standard service fee: 12.5% мин 3.0 — Service fee is 12.5% of ticket value (10% in Rio de Janeiro state), composed of Shotgun convenience fee plus the payment platform's processing fee. Charged to the END BUYER, not to the producer. — Minimum R$3. Resale marketplace adds a resale fee and a waiting-list fee (names only, numbers not read; Valor Economico reports ~15% total split buyer/seller for Ingresse's new resale, not Shotgun).</t>
        </is>
      </c>
      <c r="J138" s="2" t="inlineStr"/>
      <c r="K138" s="2" t="inlineStr">
        <is>
          <t>включён: True; свой процессинг: False; Processing included inside the 12.5%.</t>
        </is>
      </c>
      <c r="L138" s="2" t="inlineStr">
        <is>
          <t>buyer</t>
        </is>
      </c>
      <c r="M138" s="2" t="inlineStr"/>
      <c r="N138" s="2" t="inlineStr"/>
      <c r="O138" s="2" t="inlineStr">
        <is>
          <t>Not read.</t>
        </is>
      </c>
      <c r="P138" s="2" t="inlineStr"/>
      <c r="Q138" s="2" t="inlineStr">
        <is>
          <t>Not stated.</t>
        </is>
      </c>
      <c r="R138" s="2" t="inlineStr">
        <is>
          <t>• 10% in RJ state vs 12.5% elsewhere (state law)
• Portugal: 10% standard fee, charged to the buyer</t>
        </is>
      </c>
      <c r="S138" s="2" t="inlineStr"/>
      <c r="T138" s="2" t="inlineStr"/>
      <c r="U138" s="2" t="inlineStr">
        <is>
          <t>Nightlife, club events, festivals; ticketing + resale marketplace</t>
        </is>
      </c>
      <c r="V138" s="2" t="inlineStr">
        <is>
          <t>page</t>
        </is>
      </c>
      <c r="W138" s="2" t="inlineStr">
        <is>
          <t>https://support-pro.shotgun.live/hc/pt-br/articles/6989212196242 (service fee article (BR and PT))
https://festivalando.com.br/taxas-cobradas-pelas-plataformas-de-ingresso/ (context article, resale fee names)</t>
        </is>
      </c>
    </row>
    <row r="139">
      <c r="A139" s="2" t="inlineStr">
        <is>
          <t>Латинская Америка</t>
        </is>
      </c>
      <c r="B139" s="22" t="inlineStr">
        <is>
          <t>Ingresse</t>
        </is>
      </c>
      <c r="C139" s="2" t="inlineStr">
        <is>
          <t>https://www.ingresse.com</t>
        </is>
      </c>
      <c r="D139" s="2" t="inlineStr">
        <is>
          <t>Brazil</t>
        </is>
      </c>
      <c r="E139" s="2" t="inlineStr">
        <is>
          <t>BRL</t>
        </is>
      </c>
      <c r="F139" s="2" t="inlineStr">
        <is>
          <t>собирает на себя</t>
        </is>
      </c>
      <c r="G139" s="2" t="inlineStr">
        <is>
          <t>Collects; payout after the event per commercial contract (third-party statement).</t>
        </is>
      </c>
      <c r="H139" s="2" t="inlineStr">
        <is>
          <t>negotiated</t>
        </is>
      </c>
      <c r="I139" s="2" t="inlineStr">
        <is>
          <t>• Negotiated contract: 12% — Service fee 12% plus processing 5% according to one competitor blog (uticket.com.br, Feb 2026); Ingresse itself does not publish rates and other comparison (institutoitinerante.com.br) says 'negotiated by contract'. A Reclame Aqui complaint cites a 10% service fee on total price. — Numbers are third_party. Ingresse site is a JS app and returned empty content, so no official page could be read. A buyer-side convenience fee is charged at checkout and varies by event. Refund to buyer deducts service and processing fees. Resale launched May 2026 at ~15% total split buyer/seller (Valor Economico snippet).</t>
        </is>
      </c>
      <c r="J139" s="2" t="inlineStr"/>
      <c r="K139" s="2" t="inlineStr">
        <is>
          <t>включён: False; свой процессинг: False; 5% processing per uticket third-party claim.; доп. сбор: 5% (third_party)</t>
        </is>
      </c>
      <c r="L139" s="2" t="inlineStr">
        <is>
          <t>buyer</t>
        </is>
      </c>
      <c r="M139" s="2" t="inlineStr"/>
      <c r="N139" s="2" t="inlineStr"/>
      <c r="O139" s="2" t="inlineStr">
        <is>
          <t>After the event, per contract.</t>
        </is>
      </c>
      <c r="P139" s="2" t="inlineStr">
        <is>
          <t>Buyer refunds within 7 days (CDC) deduct service/processing fees according to third-party comparison.</t>
        </is>
      </c>
      <c r="Q139" s="2" t="inlineStr">
        <is>
          <t>Not stated.</t>
        </is>
      </c>
      <c r="R139" s="2" t="inlineStr">
        <is>
          <t>• Rates not public - enterprise sales
• Terms at sobre.ingresse.com/termos-de-servico not read</t>
        </is>
      </c>
      <c r="S139" s="2" t="inlineStr"/>
      <c r="T139" s="2" t="inlineStr">
        <is>
          <t>Contact sales; contract-based.</t>
        </is>
      </c>
      <c r="U139" s="2" t="inlineStr">
        <is>
          <t>Shows, festivals, large entertainment; sales-team onboarding, not pure self-serve</t>
        </is>
      </c>
      <c r="V139" s="2" t="inlineStr">
        <is>
          <t>third_party</t>
        </is>
      </c>
      <c r="W139" s="2" t="inlineStr">
        <is>
          <t>https://uticket.com.br/blog/comparando-taxas-de-plataformas-de-ingressos/ (competitor comparison (12% + 5%))
https://institutoitinerante.com.br/blog/vender-ingressos-online-sem-sympla-alternativas (third-party comparison)
https://valor.globo.com/empresas/noticia/2026/05/28/ingresse-tera-servico-de-revenda-de-ingressos.ghtml (snippet only, resale ~15%)</t>
        </is>
      </c>
    </row>
    <row r="140">
      <c r="A140" s="2" t="inlineStr">
        <is>
          <t>Латинская Америка</t>
        </is>
      </c>
      <c r="B140" s="22" t="inlineStr">
        <is>
          <t>Ticket360</t>
        </is>
      </c>
      <c r="C140" s="2" t="inlineStr">
        <is>
          <t>https://www.ticket360.com.br</t>
        </is>
      </c>
      <c r="D140" s="2" t="inlineStr">
        <is>
          <t>Brazil</t>
        </is>
      </c>
      <c r="E140" s="2" t="inlineStr">
        <is>
          <t>BRL</t>
        </is>
      </c>
      <c r="F140" s="2" t="inlineStr">
        <is>
          <t>собирает на себя</t>
        </is>
      </c>
      <c r="G140" s="2" t="inlineStr">
        <is>
          <t>Platform operates as intermediary/collector; producer rules per event. Payout terms not published.</t>
        </is>
      </c>
      <c r="H140" s="2" t="inlineStr">
        <is>
          <t>percent</t>
        </is>
      </c>
      <c r="I140" s="2" t="inlineStr">
        <is>
          <t>• Service fee (buyer side):  — Help centre: service fee 'can vary from 10% to 20%' of ticket value, producer sets rules (installments without cost, reduction/exemption of service fee, exemption of processing fee). Card processing fee varies by card brand; no processing fee on Pix. — Cost of installments: card fees 2.5% to 5% per installment, receivable anticipation 1.8% to 3%, IOF 0.38% + 0.0082%/day. Interest-free installments normally require a sponsor (brand/bank). 'Virtual box office' (Bilheteria Virtual) sells without fee at the venue, geo-validated. Optional 'Refund Guarantee' for buyers: adhesion fee 10% of total paid (ticket + service fee), non-refundable, refund cap R$5,000/ticket.</t>
        </is>
      </c>
      <c r="J140" s="2" t="inlineStr"/>
      <c r="K140" s="2" t="inlineStr">
        <is>
          <t>включён: False; свой процессинг: False; card, Pix; Processing only on card payments, by brand; none on Pix.</t>
        </is>
      </c>
      <c r="L140" s="2" t="inlineStr">
        <is>
          <t>buyer</t>
        </is>
      </c>
      <c r="M140" s="2" t="inlineStr"/>
      <c r="N140" s="2" t="inlineStr">
        <is>
          <t>Marked seats supported; fee not published.</t>
        </is>
      </c>
      <c r="O140" s="2" t="inlineStr">
        <is>
          <t>Not published.</t>
        </is>
      </c>
      <c r="P140" s="2" t="inlineStr">
        <is>
          <t>Refund to buyers via Pix only to CPF of the buyer; service fee refund rules follow CDC.</t>
        </is>
      </c>
      <c r="Q140" s="2" t="inlineStr">
        <is>
          <t>Not stated.</t>
        </is>
      </c>
      <c r="R140" s="2" t="inlineStr">
        <is>
          <t>• Rates not public for producers; becoming a producer is by request</t>
        </is>
      </c>
      <c r="S140" s="2" t="inlineStr">
        <is>
          <t>• {"name": "Refund Guarantee (buyer)", "price": "10% adhesion fee on ticket + service fee"}</t>
        </is>
      </c>
      <c r="T140" s="2" t="inlineStr">
        <is>
          <t>Contact sales.</t>
        </is>
      </c>
      <c r="U140" s="2" t="inlineStr">
        <is>
          <t>Shows, theatre, football; São Paulo-based operator with own box offices</t>
        </is>
      </c>
      <c r="V140" s="2" t="inlineStr">
        <is>
          <t>page</t>
        </is>
      </c>
      <c r="W140" s="2" t="inlineStr">
        <is>
          <t>https://www.ticket360.com.br/central-de-ajuda (help centre (taxas section))</t>
        </is>
      </c>
    </row>
    <row r="141">
      <c r="A141" s="2" t="inlineStr">
        <is>
          <t>Латинская Америка</t>
        </is>
      </c>
      <c r="B141" s="22" t="inlineStr">
        <is>
          <t>Eventim Brasil</t>
        </is>
      </c>
      <c r="C141" s="2" t="inlineStr">
        <is>
          <t>https://www.eventim.com.br</t>
        </is>
      </c>
      <c r="D141" s="2" t="inlineStr">
        <is>
          <t>Brazil</t>
        </is>
      </c>
      <c r="E141" s="2" t="inlineStr">
        <is>
          <t>BRL</t>
        </is>
      </c>
      <c r="F141" s="2" t="inlineStr">
        <is>
          <t>собирает на себя</t>
        </is>
      </c>
      <c r="G141" s="2" t="inlineStr">
        <is>
          <t>Eventim collects and transfers funds to the promoter; payment-method surcharge explicitly covers 'transfer of funds to the event promoter'.</t>
        </is>
      </c>
      <c r="H141" s="2" t="inlineStr">
        <is>
          <t>negotiated</t>
        </is>
      </c>
      <c r="I141" s="2" t="inlineStr">
        <is>
          <t>• Buyer fees:  — Three buyer-visible charges: service fee (not refundable), payment-method surcharge (Law 13.455/2017 allows differentiated pricing by payment method), and optional venue 'facility fee'. — From 1 October 2026 the administration (facility) fee at some arenas becomes 5% of the ticket price actually paid (excluding service and payment fees) instead of a fixed amount; events already on sale keep the fixed amount. Consumer press/Procon (Instagram snippets, not opened): service fee ~21.8% plus ~3.8% processing on some events, a R$895 ticket with R$195.11 processing; treat as snippet-only.</t>
        </is>
      </c>
      <c r="J141" s="2" t="inlineStr"/>
      <c r="K141" s="2" t="inlineStr">
        <is>
          <t>включён: False; свой процессинг: False; Payment-method surcharge computed on order value and method.; доп. сбор: varies</t>
        </is>
      </c>
      <c r="L141" s="2" t="inlineStr">
        <is>
          <t>buyer</t>
        </is>
      </c>
      <c r="M141" s="2" t="inlineStr"/>
      <c r="N141" s="2" t="inlineStr"/>
      <c r="O141" s="2" t="inlineStr">
        <is>
          <t>Not published.</t>
        </is>
      </c>
      <c r="P141" s="2" t="inlineStr">
        <is>
          <t>Service fee not refunded when the consumer used the service successfully (per help article).</t>
        </is>
      </c>
      <c r="Q141" s="2" t="inlineStr">
        <is>
          <t>Not stated.</t>
        </is>
      </c>
      <c r="R141" s="2" t="inlineStr">
        <is>
          <t>• Facility fee is the venue manager's income, not Eventim's</t>
        </is>
      </c>
      <c r="S141" s="2" t="inlineStr">
        <is>
          <t>• {"name": "Ingresso Protegido insurance", "price": "not read"}</t>
        </is>
      </c>
      <c r="T141" s="2" t="inlineStr">
        <is>
          <t>Contract with promoter; no public producer rates.</t>
        </is>
      </c>
      <c r="U141" s="2" t="inlineStr">
        <is>
          <t>Large shows/stadiums via promoters; no self-serve</t>
        </is>
      </c>
      <c r="V141" s="2" t="inlineStr">
        <is>
          <t>page</t>
        </is>
      </c>
      <c r="W141" s="2" t="inlineStr">
        <is>
          <t>https://help.eventim.com.br/hc/pt-br/articles/23063822486295-Taxas-cobradas-durante-a-compra (fees article)</t>
        </is>
      </c>
    </row>
    <row r="142">
      <c r="A142" s="2" t="inlineStr">
        <is>
          <t>Латинская Америка</t>
        </is>
      </c>
      <c r="B142" s="22" t="inlineStr">
        <is>
          <t>Lets Events</t>
        </is>
      </c>
      <c r="C142" s="2" t="inlineStr">
        <is>
          <t>https://lets.events</t>
        </is>
      </c>
      <c r="D142" s="2" t="inlineStr">
        <is>
          <t>Brazil</t>
        </is>
      </c>
      <c r="E142" s="2" t="inlineStr">
        <is>
          <t>BRL</t>
        </is>
      </c>
      <c r="F142" s="2" t="inlineStr">
        <is>
          <t>собирает на себя</t>
        </is>
      </c>
      <c r="G142" s="2" t="inlineStr">
        <is>
          <t>Payout reportedly 3 calendar days after the event (third-party, uticket Feb 2026).</t>
        </is>
      </c>
      <c r="H142" s="2" t="inlineStr">
        <is>
          <t>percent</t>
        </is>
      </c>
      <c r="I142" s="2" t="inlineStr">
        <is>
          <t>• Pay on sales: 7.99% — From 7.99% per ticket sold (the 'from' is not explained), no monthly fee. Fee applies only to what the buyer actually pays (after coupons), free tickets not charged. Lets states it charges only a service fee (no separate processing fee). — Producer can absorb or pass the fee to the buyer.</t>
        </is>
      </c>
      <c r="J142" s="2" t="inlineStr"/>
      <c r="K142" s="2" t="inlineStr">
        <is>
          <t>включён: True; свой процессинг: False; Blog says Lets charges only the service fee, to keep clarity.</t>
        </is>
      </c>
      <c r="L142" s="2" t="inlineStr">
        <is>
          <t>configurable</t>
        </is>
      </c>
      <c r="M142" s="2" t="inlineStr">
        <is>
          <t>Not charged.</t>
        </is>
      </c>
      <c r="N142" s="2" t="inlineStr"/>
      <c r="O142" s="2" t="inlineStr">
        <is>
          <t>3 days after event (third-party).</t>
        </is>
      </c>
      <c r="P142" s="2" t="inlineStr"/>
      <c r="Q142" s="2" t="inlineStr">
        <is>
          <t>Not stated.</t>
        </is>
      </c>
      <c r="R142" s="2" t="inlineStr">
        <is>
          <t>• 'a partir de 7,99%' - starting rate</t>
        </is>
      </c>
      <c r="S142" s="2" t="inlineStr"/>
      <c r="T142" s="2" t="inlineStr"/>
      <c r="U142" s="2" t="inlineStr">
        <is>
          <t>Brazilian small/mid producers, self-serve</t>
        </is>
      </c>
      <c r="V142" s="2" t="inlineStr">
        <is>
          <t>page</t>
        </is>
      </c>
      <c r="W142" s="2" t="inlineStr">
        <is>
          <t>https://lets.events/blog/taxa-de-conveniencia/ (own blog)
https://lets.events/blog/taxa-para-vender-ingressos/ (own blog)</t>
        </is>
      </c>
    </row>
    <row r="143">
      <c r="A143" s="2" t="inlineStr">
        <is>
          <t>Латинская Америка</t>
        </is>
      </c>
      <c r="B143" s="22" t="inlineStr">
        <is>
          <t>Passline</t>
        </is>
      </c>
      <c r="C143" s="2" t="inlineStr">
        <is>
          <t>https://www.passline.com</t>
        </is>
      </c>
      <c r="D143" s="2" t="inlineStr">
        <is>
          <t>LatAm (Chile, Argentina, Mexico, Peru, Colombia, Paraguay etc.; no per-country price published)</t>
        </is>
      </c>
      <c r="E143" s="2" t="inlineStr">
        <is>
          <t>local</t>
        </is>
      </c>
      <c r="F143" s="2" t="inlineStr">
        <is>
          <t>собирает на себя</t>
        </is>
      </c>
      <c r="G143" s="2" t="inlineStr">
        <is>
          <t>Money comes first into Passline's account and is transferred to the producer afterwards (Enter.ar claim). Third-party sources: payout 7 business days after the event in Argentina (Tickean claim).</t>
        </is>
      </c>
      <c r="H143" s="2" t="inlineStr">
        <is>
          <t>negotiated</t>
        </is>
      </c>
      <c r="I143" s="2" t="inlineStr">
        <is>
          <t>• Producer agreement: 15% — Creating events is 100% free and most tools are free. Not published: per-ticket percentage, fixed per-QR fee, setup. Passline's own refund policy page states the Passline commission 'is 15%' for use of the platform, charged to the buyer as service charge; third parties say 10% to 20% depending on event. Producer sets the service charges per event according to terms. — Sample Passline contract on Scribd (title 'Modelo Contrato Passline', not opened) shows costs to the producer loaded onto the final buyer. Extras (self-service totems, physical box office POS/printers, access control staff) are priced in the agreement.</t>
        </is>
      </c>
      <c r="J143" s="2" t="inlineStr"/>
      <c r="K143" s="2" t="inlineStr">
        <is>
          <t>включён: False; свой процессинг: False; 'comisiones propias de los servicios recaudadores' on top of 15% according to the refund policy.</t>
        </is>
      </c>
      <c r="L143" s="2" t="inlineStr">
        <is>
          <t>buyer</t>
        </is>
      </c>
      <c r="M143" s="2" t="inlineStr"/>
      <c r="N143" s="2" t="inlineStr"/>
      <c r="O143" s="2" t="inlineStr">
        <is>
          <t>7 business days after the event (third-party claim).</t>
        </is>
      </c>
      <c r="P143" s="2" t="inlineStr">
        <is>
          <t>On cancelled events the refund deducts Passline's 15% and collector commissions (per policy); refund time not less than 15 business days; Passline cannot refund without the organizer's authorization.</t>
        </is>
      </c>
      <c r="Q143" s="2" t="inlineStr">
        <is>
          <t>Not stated.</t>
        </is>
      </c>
      <c r="R143" s="2" t="inlineStr">
        <is>
          <t>• Rates not published, negotiated in the commercial agreement and may vary by volume, country and extras</t>
        </is>
      </c>
      <c r="S143" s="2" t="inlineStr">
        <is>
          <t>• {"name": "Totems, POS, access control staff", "price": "per agreement"}
• {"name": "Spotify event integration", "price": "free per producers page"}</t>
        </is>
      </c>
      <c r="T143" s="2" t="inlineStr">
        <is>
          <t>Advisor-led; price by agreement.</t>
        </is>
      </c>
      <c r="U143" s="2" t="inlineStr">
        <is>
          <t>LatAm-wide (19 countries), nightlife, concerts, festivals; self-service plus advisor</t>
        </is>
      </c>
      <c r="V143" s="2" t="inlineStr">
        <is>
          <t>page</t>
        </is>
      </c>
      <c r="W143" s="2" t="inlineStr">
        <is>
          <t>https://producers.passline.com/ (producers landing)
https://www.passline.com/politicas-de-cancelacion.php (refund policy with 15% commission)
https://www.tickean.com/alternativa-a-passline (competitor claims)
https://fanz.com.py/blog/costos-ticketeras-paraguay-2025-comparativa-completa-organizadores (Paraguay comparison 'not published')</t>
        </is>
      </c>
    </row>
    <row r="144">
      <c r="A144" s="2" t="inlineStr">
        <is>
          <t>Латинская Америка</t>
        </is>
      </c>
      <c r="B144" s="22" t="inlineStr">
        <is>
          <t>Boletia</t>
        </is>
      </c>
      <c r="C144" s="2" t="inlineStr">
        <is>
          <t>https://boletia.com</t>
        </is>
      </c>
      <c r="D144" s="2" t="inlineStr">
        <is>
          <t>Mexico</t>
        </is>
      </c>
      <c r="E144" s="2" t="inlineStr">
        <is>
          <t>MXN</t>
        </is>
      </c>
      <c r="F144" s="2" t="inlineStr">
        <is>
          <t>собирает на себя</t>
        </is>
      </c>
      <c r="G144" s="2" t="inlineStr">
        <is>
          <t>Boletia acts as commercial agent: it receives all buyer payments and pays the organizer the remainder after retaining fees. Dispersal: cut-off every Sunday and deposit on Wednesday after the event ends (event ending Monday/Tuesday goes to the Wednesday of next week); final invoice 5 business days after close. May hold a security percentage for chargebacks, released within 60 days.</t>
        </is>
      </c>
      <c r="H144" s="2" t="inlineStr">
        <is>
          <t>percent_plus_fixed</t>
        </is>
      </c>
      <c r="I144" s="2" t="inlineStr">
        <is>
          <t>• Online (card, OXXO): 10% +10 — Service fee 10% + MXN 10 per ticket issued + payment-method rate 5% (card or OXXO). USD events: 10% + USD 0.50 per ticket + 5%. — Help centre: the fee is set 'by type of event'. Free events: no fee.
• Physical box office / POS: 5% +10 — Physical ticket 5% + MXN 10 per ticket (no payment-method rate); POS card 5% + MXN 10 + 5% method rate; POS cash 5% + MXN 10.
• Installments (meses sin intereses), absorbed by organizer:  — 3 MSI 7.5% + IVA, 6 MSI 12% + IVA, 9 MSI 15% + IVA, 12 MSI 18% + IVA. With interest: 3 months 8% + IVA, 6 m 12%, 9 m 16%, 12 m 20%, 18 m 24%, all + IVA. Online payment without installments 5%. — Minimum ticket: MXN 300 for 3, 600 for 6, 900 for 9, 1,200 for 12, 1,400 for 18 months. Calculated on the final transaction amount and deducted from final dispersal; the buyer still pays ticket + service fee. Third-party report (Facebook group snippet) says service fees went up to 24% - unverified.</t>
        </is>
      </c>
      <c r="J144" s="2" t="inlineStr"/>
      <c r="K144" s="2" t="inlineStr">
        <is>
          <t>включён: False; свой процессинг: False; cards, OXXO (20,000+ stores); 5% method rate quoted as a Boletia charge; installments rate above.; доп. сбор: 5% (card/OXXO), installments 7.5-24% + IVA</t>
        </is>
      </c>
      <c r="L144" s="2" t="inlineStr">
        <is>
          <t>configurable</t>
        </is>
      </c>
      <c r="M144" s="2" t="inlineStr">
        <is>
          <t>Free events: no Boletia service fee.</t>
        </is>
      </c>
      <c r="N144" s="2" t="inlineStr">
        <is>
          <t>Numbered seats via a venue-mapping service (request to organizadores@boletia.com, quote); ticket price list not published.</t>
        </is>
      </c>
      <c r="O144" s="2" t="inlineStr">
        <is>
          <t>Weekly cut-off Sunday, deposit Wednesday after event end. Foreign-account refund deposit fee USD 35 + IVA per refund when buyer's account is outside Mexico and purchase was 6+ months before refund.</t>
        </is>
      </c>
      <c r="P144" s="2" t="inlineStr">
        <is>
          <t>On cancellation/modification the organizer must return money delivered by Boletia within 72 business hours or pay a MXN 300,000 penalty (T&amp;C). Chargebacks before the event are cancelled from the event account; Boletia not responsible for chargebacks; organizer liable after payout.</t>
        </is>
      </c>
      <c r="Q144" s="2" t="inlineStr">
        <is>
          <t>Boletia invoices its fee and withheld amounts to the organizer 'plus applicable taxes' (IVA); installment commissions are quoted '+ IVA'. Organizer invoices buyers directly. Boletia withholds 1% ISR on the net total (after Boletia's service fee). Mexico also has entertainment tax (ISEP) of ~8% in CDMX and 3-10% elsewhere on the organizer.</t>
        </is>
      </c>
      <c r="R144" s="2" t="inlineStr">
        <is>
          <t>• Charging model (fee included in price vs fee on top of price) can only be changed before the first sale
• Contract penalty MXN 300,000 for missing the refund deadline
• Security reserve held up to 60 days after the event for chargebacks
• Invoice of Boletia's commission issued on the last day of every month the event is on sale</t>
        </is>
      </c>
      <c r="S144" s="2" t="inlineStr">
        <is>
          <t>• {"name": "Boletia ADS / marketing campaigns, bank partnerships", "price": "quote"}
• {"name": "Check-in app, onsite sales, wallet, virtual queue, streaming", "price": "not itemised"}</t>
        </is>
      </c>
      <c r="T144" s="2" t="inlineStr">
        <is>
          <t>Demo request for large events.</t>
        </is>
      </c>
      <c r="U144" s="2" t="inlineStr">
        <is>
          <t>Mexico's largest 'do it yourself' ticketing (concerts, festivals, expos, theatre, graduations), OXXO + card + installments</t>
        </is>
      </c>
      <c r="V144" s="2" t="inlineStr">
        <is>
          <t>page</t>
        </is>
      </c>
      <c r="W144" s="2" t="inlineStr">
        <is>
          <t>https://boletia.com/terms-of-service (terms of service (pricing tables in MXN and USD))
https://knowledge.boletia.com/knowledge/cual-es-el-cargo-por-servicio-que-boletia-cobra (fee help article (10%, 10 pesos, 5%))
https://knowledge.boletia.com/knowledge/c%C3%B3mo-elijo-el-modelo-de-cobro (charging model)
https://blog.boletia.com/organizadores/dudas-comunes-organizadores-sobre-venta-boletos-digitales-boletia (payout Wednesday, 1% ISR)
https://organizadores.boletia.com/ (homepage (payout Wednesday after event end))</t>
        </is>
      </c>
    </row>
    <row r="145">
      <c r="A145" s="2" t="inlineStr">
        <is>
          <t>Латинская Америка</t>
        </is>
      </c>
      <c r="B145" s="22" t="inlineStr">
        <is>
          <t>Boletopolis</t>
        </is>
      </c>
      <c r="C145" s="2" t="inlineStr">
        <is>
          <t>https://boletopolis.com</t>
        </is>
      </c>
      <c r="D145" s="2" t="inlineStr">
        <is>
          <t>Mexico</t>
        </is>
      </c>
      <c r="E145" s="2" t="inlineStr">
        <is>
          <t>MXN</t>
        </is>
      </c>
      <c r="F145" s="2" t="inlineStr">
        <is>
          <t>собирает на себя</t>
        </is>
      </c>
      <c r="G145" s="2" t="inlineStr">
        <is>
          <t>Not verified (page is JS-rendered); inferred.</t>
        </is>
      </c>
      <c r="H145" s="2" t="inlineStr">
        <is>
          <t>percent_plus_fixed</t>
        </is>
      </c>
      <c r="I145" s="2" t="inlineStr">
        <is>
          <t>• Per-sale commission: 3.5% +10 — Search snippet: 'Boletopolis charges a 3.5% commission per sale plus MXN 10 per ticket sold'; free system for organizers. — Could not open the page (JavaScript), snippet only.</t>
        </is>
      </c>
      <c r="J145" s="2" t="inlineStr"/>
      <c r="K145" s="2" t="inlineStr">
        <is>
          <t>включён: None; свой процессинг: None</t>
        </is>
      </c>
      <c r="L145" s="2" t="inlineStr"/>
      <c r="M145" s="2" t="inlineStr"/>
      <c r="N145" s="2" t="inlineStr"/>
      <c r="O145" s="2" t="inlineStr"/>
      <c r="P145" s="2" t="inlineStr"/>
      <c r="Q145" s="2" t="inlineStr">
        <is>
          <t>Not stated.</t>
        </is>
      </c>
      <c r="R145" s="2" t="inlineStr"/>
      <c r="S145" s="2" t="inlineStr"/>
      <c r="T145" s="2" t="inlineStr"/>
      <c r="U145" s="2" t="inlineStr">
        <is>
          <t>Mexican free ticketing system for organizers, OXXO/SPEI</t>
        </is>
      </c>
      <c r="V145" s="2" t="inlineStr">
        <is>
          <t>snippet</t>
        </is>
      </c>
      <c r="W145" s="2" t="inlineStr">
        <is>
          <t>https://boletopolis.com/es/que-hacemos (search snippet only)</t>
        </is>
      </c>
    </row>
    <row r="146">
      <c r="A146" s="2" t="inlineStr">
        <is>
          <t>Латинская Америка</t>
        </is>
      </c>
      <c r="B146" s="22" t="inlineStr">
        <is>
          <t>Alpogo</t>
        </is>
      </c>
      <c r="C146" s="2" t="inlineStr">
        <is>
          <t>https://alpogo.com</t>
        </is>
      </c>
      <c r="D146" s="2" t="inlineStr">
        <is>
          <t>Argentina</t>
        </is>
      </c>
      <c r="E146" s="2" t="inlineStr">
        <is>
          <t>ARS</t>
        </is>
      </c>
      <c r="F146" s="2" t="inlineStr">
        <is>
          <t>собирает на себя</t>
        </is>
      </c>
      <c r="G146" s="2" t="inlineStr">
        <is>
          <t>Platform collects the money and pays out to the producer within 5 business days after the producer provides bank data or a transfer request, or at an agreed period; bank account must be in the name of the event's CUIT/CUIL. May withhold funds until the organizer proves the event took place. After formal notice it may retain 30% of gross collections for 90 days after the event for chargebacks/fraud.</t>
        </is>
      </c>
      <c r="H146" s="2" t="inlineStr">
        <is>
          <t>percent</t>
        </is>
      </c>
      <c r="I146" s="2" t="inlineStr">
        <is>
          <t>• Producer terms: 17.5% — 15% to 20% of total tickets sold depending on service scope and agreed terms, deducted from gross revenue; a 'cargo por servicio' (amount not stated) also exists. — per_ticket_percent is the midpoint of the 15-20% range, not a published single rate. Terms document last updated 2022-02-03.</t>
        </is>
      </c>
      <c r="J146" s="2" t="inlineStr"/>
      <c r="K146" s="2" t="inlineStr">
        <is>
          <t>включён: None; свой процессинг: False</t>
        </is>
      </c>
      <c r="L146" s="2" t="inlineStr">
        <is>
          <t>organizer</t>
        </is>
      </c>
      <c r="M146" s="2" t="inlineStr"/>
      <c r="N146" s="2" t="inlineStr"/>
      <c r="O146" s="2" t="inlineStr">
        <is>
          <t>5 business days after request/bank details; 30% retention for 90 days post-event possible; no interest on held funds.</t>
        </is>
      </c>
      <c r="P146" s="2" t="inlineStr">
        <is>
          <t>Chargebacks and refunds already generated are deducted before payout; organizer indemnifies Alpogo and reimburses within 5 days of demand plus bank interest.</t>
        </is>
      </c>
      <c r="Q146" s="2" t="inlineStr">
        <is>
          <t>Organizer pays IVA and taxes of the event and must issue fiscal receipts to attendees; Alpogo issues fiscal receipts for its commissions and service charges.</t>
        </is>
      </c>
      <c r="R146" s="2" t="inlineStr">
        <is>
          <t>• Terms dated 2022
• Retention clause 30% / 90 days</t>
        </is>
      </c>
      <c r="S146" s="2" t="inlineStr"/>
      <c r="T146" s="2" t="inlineStr"/>
      <c r="U146" s="2" t="inlineStr">
        <is>
          <t>Argentine promoters, nightlife and shows, up to 3 installments without interest</t>
        </is>
      </c>
      <c r="V146" s="2" t="inlineStr">
        <is>
          <t>page</t>
        </is>
      </c>
      <c r="W146" s="2" t="inlineStr">
        <is>
          <t>https://alpogo.com/pagina/terminos-productorxs (producer terms)</t>
        </is>
      </c>
    </row>
    <row r="147">
      <c r="A147" s="2" t="inlineStr">
        <is>
          <t>Латинская Америка</t>
        </is>
      </c>
      <c r="B147" s="22" t="inlineStr">
        <is>
          <t>Welcu</t>
        </is>
      </c>
      <c r="C147" s="2" t="inlineStr">
        <is>
          <t>https://welcu.com</t>
        </is>
      </c>
      <c r="D147" s="2" t="inlineStr">
        <is>
          <t>Chile</t>
        </is>
      </c>
      <c r="E147" s="2" t="inlineStr">
        <is>
          <t>CLP</t>
        </is>
      </c>
      <c r="F147" s="2" t="inlineStr">
        <is>
          <t>собирает на себя</t>
        </is>
      </c>
      <c r="G147" s="2" t="inlineStr">
        <is>
          <t>Welcu offers local payment methods in USA, Brazil, Chile, Peru, Mexico and Colombia; payout timing not published on the pricing page. Terms: price of services (fixed fee per ticket and Welcu commission) is the organizer's, settled from the balance.</t>
        </is>
      </c>
      <c r="H147" s="2" t="inlineStr">
        <is>
          <t>percent</t>
        </is>
      </c>
      <c r="I147" s="2" t="inlineStr">
        <is>
          <t>• Standard: 10% — 10% + taxes of the ticket value. Free events free for organizer and guests. 'No cobras, no pagas'. Option 'Pass commission to attendee' (otherwise organizer pays). — A 'corporate' paid tier exists (no price). Calculator example shows ticket 200,000 -&gt; attendee pays 213,078 and commission 13,078 (inconsistent with 10%; the example may include processing).</t>
        </is>
      </c>
      <c r="J147" s="2" t="inlineStr"/>
      <c r="K147" s="2" t="inlineStr">
        <is>
          <t>включён: None; свой процессинг: None; local methods; Not itemised.</t>
        </is>
      </c>
      <c r="L147" s="2" t="inlineStr">
        <is>
          <t>organizer</t>
        </is>
      </c>
      <c r="M147" s="2" t="inlineStr">
        <is>
          <t>Free events: no cost.</t>
        </is>
      </c>
      <c r="N147" s="2" t="inlineStr"/>
      <c r="O147" s="2" t="inlineStr">
        <is>
          <t>Not published on pricing page.</t>
        </is>
      </c>
      <c r="P147" s="2" t="inlineStr"/>
      <c r="Q147" s="2" t="inlineStr">
        <is>
          <t>Commission is '10% + taxes': IVA 19% charged on the commission (search snippet example: ticket CLP 26,000, Welcu commission CLP 2,600, IVA on commission CLP 494). The pricing calculator shows IVA 0 in its example, so treatment is inconsistent on the page.</t>
        </is>
      </c>
      <c r="R147" s="2" t="inlineStr">
        <is>
          <t>• Pricing calculator offers CLP, COP and USD; Mexico and Peru are listed as countries but no MXN/PEN rate shown</t>
        </is>
      </c>
      <c r="S147" s="2" t="inlineStr"/>
      <c r="T147" s="2" t="inlineStr">
        <is>
          <t>Corporate tier by quote.</t>
        </is>
      </c>
      <c r="U147" s="2" t="inlineStr">
        <is>
          <t>Chile/Colombia/Mexico/Peru self-serve for events of every type (also sports, business)</t>
        </is>
      </c>
      <c r="V147" s="2" t="inlineStr">
        <is>
          <t>page</t>
        </is>
      </c>
      <c r="W147" s="2" t="inlineStr">
        <is>
          <t>https://welcu.com/es/pricing (pricing page)
https://nexopass.cl/ticketeras-en-chile/ (Chile comparison (verified 2026-09-05))
https://welcu.com/en/terms (terms snippet)</t>
        </is>
      </c>
    </row>
    <row r="148">
      <c r="A148" s="2" t="inlineStr">
        <is>
          <t>Латинская Америка</t>
        </is>
      </c>
      <c r="B148" s="22" t="inlineStr">
        <is>
          <t>Joinnus</t>
        </is>
      </c>
      <c r="C148" s="2" t="inlineStr">
        <is>
          <t>https://www.joinnus.com</t>
        </is>
      </c>
      <c r="D148" s="2" t="inlineStr">
        <is>
          <t>Peru</t>
        </is>
      </c>
      <c r="E148" s="2" t="inlineStr">
        <is>
          <t>PEN</t>
        </is>
      </c>
      <c r="F148" s="2" t="inlineStr">
        <is>
          <t>собирает на себя</t>
        </is>
      </c>
      <c r="G148" s="2" t="inlineStr">
        <is>
          <t>Inferred; the commercial agreement text read was truncated, payout terms not visible. Joinnus T&amp;C: percentage of each ticket sold includes service access commission and the payment commission.</t>
        </is>
      </c>
      <c r="H148" s="2" t="inlineStr">
        <is>
          <t>percent</t>
        </is>
      </c>
      <c r="I148" s="2" t="inlineStr">
        <is>
          <t>• Commercial agreement (2019 template): 9% — Charge of 9% + IGV per ticket sold; organizer must show the Joinnus logo and purchase option in all communication. — From a Scribd copy of an old agreement ('Acuerdo Comercial (1).pdf'), so third_party and possibly outdated. Joinnus terms say it charges a percentage of each ticket that includes use commission and the payment-processor commission.</t>
        </is>
      </c>
      <c r="J148" s="2" t="inlineStr"/>
      <c r="K148" s="2" t="inlineStr">
        <is>
          <t>включён: True; свой процессинг: False; Payment commission is included in the percentage per its terms.</t>
        </is>
      </c>
      <c r="L148" s="2" t="inlineStr"/>
      <c r="M148" s="2" t="inlineStr"/>
      <c r="N148" s="2" t="inlineStr"/>
      <c r="O148" s="2" t="inlineStr"/>
      <c r="P148" s="2" t="inlineStr">
        <is>
          <t>Per event T&amp;C (example Huaralino): refund limited to the price paid to the organizer.</t>
        </is>
      </c>
      <c r="Q148" s="2" t="inlineStr">
        <is>
          <t>Commission is '9% + IGV' (IGV = Peru VAT 18%) per ticket.</t>
        </is>
      </c>
      <c r="R148" s="2" t="inlineStr">
        <is>
          <t>• Rate comes from a 2019 sample contract</t>
        </is>
      </c>
      <c r="S148" s="2" t="inlineStr"/>
      <c r="T148" s="2" t="inlineStr"/>
      <c r="U148" s="2" t="inlineStr">
        <is>
          <t>Peru's self-serve ticketing (Credicorp-owned), events of all sizes; also Colombia, Chile</t>
        </is>
      </c>
      <c r="V148" s="2" t="inlineStr">
        <is>
          <t>third_party</t>
        </is>
      </c>
      <c r="W148" s="2" t="inlineStr">
        <is>
          <t>https://es.scribd.com/document/429545219/Acuerdo-Comercial-1-pdf (old agreement (partial))
https://www.joinnus.com/terminos-y-condiciones (page is JS-rendered, text only via search snippet)</t>
        </is>
      </c>
    </row>
    <row r="149">
      <c r="A149" s="2" t="inlineStr">
        <is>
          <t>Латинская Америка</t>
        </is>
      </c>
      <c r="B149" s="22" t="inlineStr">
        <is>
          <t>RedTickets (Uruguay) and Tickantel</t>
        </is>
      </c>
      <c r="C149" s="2" t="inlineStr">
        <is>
          <t>https://www.redtickets.uy</t>
        </is>
      </c>
      <c r="D149" s="2" t="inlineStr">
        <is>
          <t>Uruguay</t>
        </is>
      </c>
      <c r="E149" s="2" t="inlineStr">
        <is>
          <t>UYU</t>
        </is>
      </c>
      <c r="F149" s="2" t="inlineStr">
        <is>
          <t>собирает на себя</t>
        </is>
      </c>
      <c r="G149" s="2" t="inlineStr">
        <is>
          <t>RedTickets acts as mandatary 'on behalf of' the organizer (terms snippet), with 'Redpagos' physical points and crypto acceptance; no payout timing seen. Tickantel not opened.</t>
        </is>
      </c>
      <c r="H149" s="2" t="inlineStr">
        <is>
          <t>negotiated</t>
        </is>
      </c>
      <c r="I149" s="2" t="inlineStr">
        <is>
          <t>• Not public:  — No producer fee published by either. Tikzet UY quotes UYU 10 per prepaid ticket (see Tikzet). — RedTickets terms page returned 403 to the reader; only the search snippet is known. A cooparte.uy article (2021) notes Tickantel exempted ticket-issue commission at box offices.</t>
        </is>
      </c>
      <c r="J149" s="2" t="inlineStr"/>
      <c r="K149" s="2" t="inlineStr">
        <is>
          <t>включён: None; свой процессинг: None</t>
        </is>
      </c>
      <c r="L149" s="2" t="inlineStr"/>
      <c r="M149" s="2" t="inlineStr"/>
      <c r="N149" s="2" t="inlineStr"/>
      <c r="O149" s="2" t="inlineStr"/>
      <c r="P149" s="2" t="inlineStr"/>
      <c r="Q149" s="2" t="inlineStr">
        <is>
          <t>Not stated.</t>
        </is>
      </c>
      <c r="R149" s="2" t="inlineStr"/>
      <c r="S149" s="2" t="inlineStr"/>
      <c r="T149" s="2" t="inlineStr">
        <is>
          <t>Contact sales.</t>
        </is>
      </c>
      <c r="U149" s="2" t="inlineStr">
        <is>
          <t>Uruguay: RedTickets self-service (claims over half of events); Tickantel (Antel state telecom) for theatres/venues</t>
        </is>
      </c>
      <c r="V149" s="2" t="inlineStr">
        <is>
          <t>snippet</t>
        </is>
      </c>
      <c r="W149" s="2" t="inlineStr">
        <is>
          <t>https://redtickets.uy/tyc_compra (snippet only (mandataria))</t>
        </is>
      </c>
    </row>
    <row r="150">
      <c r="A150" s="2" t="inlineStr">
        <is>
          <t>Латинская Америка</t>
        </is>
      </c>
      <c r="B150" s="22" t="inlineStr">
        <is>
          <t>Paraguay and Bolivia platforms (Fanz PY, RedTicket PY, Ticket Go BO, TicketBO)</t>
        </is>
      </c>
      <c r="C150" s="2" t="inlineStr">
        <is>
          <t>https://fanz.com.py</t>
        </is>
      </c>
      <c r="D150" s="2" t="inlineStr">
        <is>
          <t>Paraguay</t>
        </is>
      </c>
      <c r="E150" s="2" t="inlineStr">
        <is>
          <t>PYG</t>
        </is>
      </c>
      <c r="F150" s="2" t="inlineStr">
        <is>
          <t>собирает на себя</t>
        </is>
      </c>
      <c r="G150" s="2" t="inlineStr">
        <is>
          <t>Fanz settles to the organizer after 2, 10 or 20 days depending on plan (vendor claim).</t>
        </is>
      </c>
      <c r="H150" s="2" t="inlineStr">
        <is>
          <t>percent</t>
        </is>
      </c>
      <c r="I150" s="2" t="inlineStr">
        <is>
          <t>• Fanz service charge: 8.26% — 8.26% + IVA paid by the buyer as service charge, no setup, no monthly; cost about PYG 10,890 on a PYG 100,000 ticket with debit card. — Own blog also says local market rates range 8% to 18% and Eventbrite ~6-18% per plan. Passline's PY rate 'not published'. RedTicket PY (new.redticket.com.py): 'small commission', no monthly cost, no setup fee, pays via Bancard QR, Pix, card, transfer; no numbers.</t>
        </is>
      </c>
      <c r="J150" s="2" t="inlineStr"/>
      <c r="K150" s="2" t="inlineStr">
        <is>
          <t>включён: True; свой процессинг: False; Tigo Money, Billetera Personal, debit/credit card</t>
        </is>
      </c>
      <c r="L150" s="2" t="inlineStr">
        <is>
          <t>buyer</t>
        </is>
      </c>
      <c r="M150" s="2" t="inlineStr"/>
      <c r="N150" s="2" t="inlineStr"/>
      <c r="O150" s="2" t="inlineStr">
        <is>
          <t>2, 10 or 20 days depending on plan (Fanz claim).</t>
        </is>
      </c>
      <c r="P150" s="2" t="inlineStr"/>
      <c r="Q150" s="2" t="inlineStr">
        <is>
          <t>Fanz: IVA added on top of the commission.</t>
        </is>
      </c>
      <c r="R150" s="2" t="inlineStr">
        <is>
          <t>• Vendor-written comparison</t>
        </is>
      </c>
      <c r="S150" s="2" t="inlineStr"/>
      <c r="T150" s="2" t="inlineStr"/>
      <c r="U150" s="2" t="inlineStr">
        <is>
          <t>Smaller national platforms; one main self-serve per country as far as found</t>
        </is>
      </c>
      <c r="V150" s="2" t="inlineStr">
        <is>
          <t>third_party</t>
        </is>
      </c>
      <c r="W150" s="2" t="inlineStr">
        <is>
          <t>https://fanz.com.py/blog/costos-ticketeras-paraguay-2025-comparativa-completa-organizadores (vendor comparison)
https://new.redticket.com.py/registro-organizador (RedTicket PY organizer page)</t>
        </is>
      </c>
    </row>
    <row r="151">
      <c r="A151" s="2" t="inlineStr">
        <is>
          <t>Азия, Океания, Ближний Восток</t>
        </is>
      </c>
      <c r="B151" s="22" t="inlineStr">
        <is>
          <t>Eventfinda Ticketing</t>
        </is>
      </c>
      <c r="C151" s="2" t="inlineStr">
        <is>
          <t>https://www.eventfinda.co.nz/ticketing/</t>
        </is>
      </c>
      <c r="D151" s="2" t="inlineStr">
        <is>
          <t>New Zealand</t>
        </is>
      </c>
      <c r="E151" s="2" t="inlineStr">
        <is>
          <t>NZD</t>
        </is>
      </c>
      <c r="F151" s="2" t="inlineStr">
        <is>
          <t>собирает на себя</t>
        </is>
      </c>
      <c r="G151" s="2" t="inlineStr">
        <is>
          <t>Platform sells and settles to the promoter ('Estimated Settlement' in calculator); payout timing not stated on pages read.</t>
        </is>
      </c>
      <c r="H151" s="2" t="inlineStr">
        <is>
          <t>mixed</t>
        </is>
      </c>
      <c r="I151" s="2" t="inlineStr">
        <is>
          <t>• Promoter service fee by price band: мин 1.0 потолок 20.0 — set-up, maintenance, promo codes, marketing tools free — NZ$0.01-14.00 -&gt; $1.00; 14.01-19.00 -&gt; $1.25; 19.01-24.00 -&gt; $1.50; 24.01-99.00 -&gt; $1.75; 99.01+ -&gt; 3% capped at $20 per ticket
• Customer booking fee by price band (charged to buyer): мин 0 — 0.01-14.00 -&gt; $0; 14.01-19.00 -&gt; $1.20; 19.01-24.00 -&gt; $2.75; 24.01-99.00 -&gt; $3.30; 99.01+ -&gt; $3.85</t>
        </is>
      </c>
      <c r="J151" s="2" t="inlineStr"/>
      <c r="K151" s="2" t="inlineStr">
        <is>
          <t>включён: False; свой процессинг: None; not named; card processing fee 2.5%, promoter may absorb or pass on to buyer</t>
        </is>
      </c>
      <c r="L151" s="2" t="inlineStr">
        <is>
          <t>configurable</t>
        </is>
      </c>
      <c r="M151" s="2" t="inlineStr">
        <is>
          <t>free to use for free events, no sign-up fees; complimentary tickets no extra cost up to 30% of sold ticket volume</t>
        </is>
      </c>
      <c r="N151" s="2" t="inlineStr">
        <is>
          <t>seating maps listed as a feature; surcharge not stated</t>
        </is>
      </c>
      <c r="O151" s="2" t="inlineStr">
        <is>
          <t>not stated on pages read</t>
        </is>
      </c>
      <c r="P151" s="2" t="inlineStr">
        <is>
          <t>not stated</t>
        </is>
      </c>
      <c r="Q151" s="2" t="inlineStr">
        <is>
          <t>fees include GST (calculator says 'Includes GST')</t>
        </is>
      </c>
      <c r="R151" s="2" t="inlineStr">
        <is>
          <t>• standard arrangement: buyer pays booking fee, promoter pays service fee + typically passes on 2.5% card fee
• customer can be made to pay promoter service fee too via email request
• charity discount/donation options mentioned but not detailed
• large events: custom quote</t>
        </is>
      </c>
      <c r="S151" s="2" t="inlineStr">
        <is>
          <t>• {"name": "Eventfinda Connect listing/marketing plans", "price": "plans exist, not read"}
• {"name": "White label ticketing", "price": "not published"}</t>
        </is>
      </c>
      <c r="T151" s="2" t="inlineStr">
        <is>
          <t>custom quote for large events</t>
        </is>
      </c>
      <c r="U151" s="2" t="inlineStr">
        <is>
          <t>NZ venues, promoters, festivals; marketing platform + ticketing; sister sites in AU and SG</t>
        </is>
      </c>
      <c r="V151" s="2" t="inlineStr">
        <is>
          <t>page</t>
        </is>
      </c>
      <c r="W151" s="2" t="inlineStr">
        <is>
          <t>https://www.eventfinda.co.nz/ticketing/pricing/ (pricing page)
https://support.eventfinda.co.nz/hc/en-gb/articles/360002169456-Ticketing-Fees (fees help article with both tables)</t>
        </is>
      </c>
    </row>
    <row r="152">
      <c r="A152" s="2" t="inlineStr">
        <is>
          <t>Азия, Океания, Ближний Восток</t>
        </is>
      </c>
      <c r="B152" s="22" t="inlineStr">
        <is>
          <t>Oztix</t>
        </is>
      </c>
      <c r="C152" s="2" t="inlineStr">
        <is>
          <t>https://www.oztix.com.au</t>
        </is>
      </c>
      <c r="D152" s="2" t="inlineStr">
        <is>
          <t>Australia</t>
        </is>
      </c>
      <c r="E152" s="2" t="inlineStr">
        <is>
          <t>AUD</t>
        </is>
      </c>
      <c r="F152" s="2" t="inlineStr">
        <is>
          <t>собирает на себя</t>
        </is>
      </c>
      <c r="G152" s="2" t="inlineStr">
        <is>
          <t>Acts as agent for the Presenter and settles to them (terms not read in full).</t>
        </is>
      </c>
      <c r="H152" s="2" t="inlineStr">
        <is>
          <t>negotiated</t>
        </is>
      </c>
      <c r="I152" s="2" t="inlineStr"/>
      <c r="J152" s="2" t="inlineStr"/>
      <c r="K152" s="2" t="inlineStr">
        <is>
          <t>включён: None; свой процессинг: None</t>
        </is>
      </c>
      <c r="L152" s="2" t="inlineStr">
        <is>
          <t>buyer</t>
        </is>
      </c>
      <c r="M152" s="2" t="inlineStr"/>
      <c r="N152" s="2" t="inlineStr"/>
      <c r="O152" s="2" t="inlineStr"/>
      <c r="P152" s="2" t="inlineStr">
        <is>
          <t>buyer terms (snippet): on an authorised refund Oztix returns ticket price and refunds the booking fee / handling fee only if the Presenter instructs it to</t>
        </is>
      </c>
      <c r="Q152" s="2" t="inlineStr"/>
      <c r="R152" s="2" t="inlineStr">
        <is>
          <t>• /pricing page returned only a title; no public organiser fee schedule found
• buyer-side booking fee example in a consumer complaint: A$18.10 (reddit, not authoritative)</t>
        </is>
      </c>
      <c r="S152" s="2" t="inlineStr"/>
      <c r="T152" s="2" t="inlineStr">
        <is>
          <t>contact sales / partnership model; price not public</t>
        </is>
      </c>
      <c r="U152" s="2" t="inlineStr">
        <is>
          <t>Australia's largest independent ticketer, live music / festivals; venue and promoter partnerships</t>
        </is>
      </c>
      <c r="V152" s="2" t="inlineStr">
        <is>
          <t>snippet</t>
        </is>
      </c>
      <c r="W152" s="2" t="inlineStr">
        <is>
          <t>https://www.oztix.com.au/pricing (page with no content)
https://tickets.oztix.com.au/outlet/terms/8b8e9c26-e4ae-4f87-9482-922c5bab7398 (customer terms snippet from search)</t>
        </is>
      </c>
    </row>
    <row r="153">
      <c r="A153" s="2" t="inlineStr">
        <is>
          <t>Азия, Океания, Ближний Восток</t>
        </is>
      </c>
      <c r="B153" s="22" t="inlineStr">
        <is>
          <t>Moshtix (Ticketmaster/Live Nation company)</t>
        </is>
      </c>
      <c r="C153" s="2" t="inlineStr">
        <is>
          <t>https://business.moshtix.com</t>
        </is>
      </c>
      <c r="D153" s="2" t="inlineStr">
        <is>
          <t>Australia / New Zealand</t>
        </is>
      </c>
      <c r="E153" s="2" t="inlineStr">
        <is>
          <t>AUD</t>
        </is>
      </c>
      <c r="F153" s="2" t="inlineStr">
        <is>
          <t>собирает на себя</t>
        </is>
      </c>
      <c r="G153" s="2" t="inlineStr">
        <is>
          <t>Sells tickets on behalf of organisers; settlement terms not published.</t>
        </is>
      </c>
      <c r="H153" s="2" t="inlineStr">
        <is>
          <t>negotiated</t>
        </is>
      </c>
      <c r="I153" s="2" t="inlineStr"/>
      <c r="J153" s="2" t="inlineStr"/>
      <c r="K153" s="2" t="inlineStr">
        <is>
          <t>включён: None; свой процессинг: None</t>
        </is>
      </c>
      <c r="L153" s="2" t="inlineStr">
        <is>
          <t>buyer</t>
        </is>
      </c>
      <c r="M153" s="2" t="inlineStr"/>
      <c r="N153" s="2" t="inlineStr"/>
      <c r="O153" s="2" t="inlineStr"/>
      <c r="P153" s="2" t="inlineStr"/>
      <c r="Q153" s="2" t="inlineStr"/>
      <c r="R153" s="2" t="inlineStr">
        <is>
          <t>• organiser site says 'start selling in 5 minutes using the DIY Control Room' or contact the team; no fee figures published
• buyer pages say booking/service fees vary by event and ticket price</t>
        </is>
      </c>
      <c r="S153" s="2" t="inlineStr"/>
      <c r="T153" s="2" t="inlineStr">
        <is>
          <t>contact sales; price not public</t>
        </is>
      </c>
      <c r="U153" s="2" t="inlineStr">
        <is>
          <t>live music venues, independent promoters, festivals in AU/NZ/SG; self-service Control Room or managed</t>
        </is>
      </c>
      <c r="V153" s="2" t="inlineStr">
        <is>
          <t>page</t>
        </is>
      </c>
      <c r="W153" s="2" t="inlineStr">
        <is>
          <t>https://selltix.moshtix.com/sell-tickets (organiser landing page)</t>
        </is>
      </c>
    </row>
    <row r="154">
      <c r="A154" s="2" t="inlineStr">
        <is>
          <t>Азия, Океания, Ближний Восток</t>
        </is>
      </c>
      <c r="B154" s="22" t="inlineStr">
        <is>
          <t>Peatix</t>
        </is>
      </c>
      <c r="C154" s="2" t="inlineStr">
        <is>
          <t>https://peatix.com</t>
        </is>
      </c>
      <c r="D154" s="2" t="inlineStr">
        <is>
          <t>Japan</t>
        </is>
      </c>
      <c r="E154" s="2" t="inlineStr">
        <is>
          <t>JPY</t>
        </is>
      </c>
      <c r="F154" s="2" t="inlineStr">
        <is>
          <t>собирает на себя</t>
        </is>
      </c>
      <c r="G154" s="2" t="inlineStr">
        <is>
          <t>Peatix collects (all payment processing included) and pays out within 5 business days after the event ends, never before the end date; wire to a Japanese bank account. Transfer fee 210 JPY per payout. Cancelling an event can incur a cancellation fee.</t>
        </is>
      </c>
      <c r="H154" s="2" t="inlineStr">
        <is>
          <t>percent_plus_fixed</t>
        </is>
      </c>
      <c r="I154" s="2" t="inlineStr">
        <is>
          <t>• Ticketing fee: 4.9% +99 — all card processing; buyer pays only ticket price — 4.9% + 99 JPY per paid ticket</t>
        </is>
      </c>
      <c r="J154" s="2" t="inlineStr"/>
      <c r="K154" s="2" t="inlineStr">
        <is>
          <t>включён: True; свой процессинг: False; not named; included</t>
        </is>
      </c>
      <c r="L154" s="2" t="inlineStr">
        <is>
          <t>organiser</t>
        </is>
      </c>
      <c r="M154" s="2" t="inlineStr">
        <is>
          <t>no fee for events with only free tickets; free tickets in mixed events not charged; paid ticket made free by discount code not charged</t>
        </is>
      </c>
      <c r="N154" s="2" t="inlineStr">
        <is>
          <t>not stated</t>
        </is>
      </c>
      <c r="O154" s="2" t="inlineStr">
        <is>
          <t>within 5 business days after event end; JPY 210 transfer fee per payout</t>
        </is>
      </c>
      <c r="P154" s="2" t="inlineStr">
        <is>
          <t>not stated</t>
        </is>
      </c>
      <c r="Q154" s="2" t="inlineStr">
        <is>
          <t>processing and transfer fees not subject to Japanese consumption tax (provided by US entity)</t>
        </is>
      </c>
      <c r="R154" s="2" t="inlineStr">
        <is>
          <t>• Peatix Live (streaming) adds a per-ticket live fee in JP/SG/MY; a search snippet shows an SG example of 5% ticketing fee + SGD 2 per ticket live fee (snippet only)
• China: free tickets only</t>
        </is>
      </c>
      <c r="S154" s="2" t="inlineStr">
        <is>
          <t>• {"name": "Peatix Live streaming", "price": "extra fee on top of ticketing fee; see help-organizer article"}</t>
        </is>
      </c>
      <c r="T154" s="2" t="inlineStr"/>
      <c r="U154" s="2" t="inlineStr">
        <is>
          <t>community / workshop / small-event organisers worldwide, strong in Japan and Southeast Asia; buyer pays no booking fee</t>
        </is>
      </c>
      <c r="V154" s="2" t="inlineStr">
        <is>
          <t>page</t>
        </is>
      </c>
      <c r="W154" s="2" t="inlineStr">
        <is>
          <t>https://help-organizer.peatix.com/en/support/solutions/articles/44001821779-peatix-pricing (global fee table)
https://help-organizer.peatix.com/en/support/solutions/articles/44001821780-how-to-receive-the-ticket-sales-for-your-event (payout rules)</t>
        </is>
      </c>
    </row>
    <row r="155">
      <c r="A155" s="2" t="inlineStr">
        <is>
          <t>Азия, Океания, Ближний Восток</t>
        </is>
      </c>
      <c r="B155" s="22" t="inlineStr">
        <is>
          <t>Peatix</t>
        </is>
      </c>
      <c r="C155" s="2" t="inlineStr">
        <is>
          <t>https://peatix.com</t>
        </is>
      </c>
      <c r="D155" s="2" t="inlineStr">
        <is>
          <t>Singapore</t>
        </is>
      </c>
      <c r="E155" s="2" t="inlineStr">
        <is>
          <t>SGD</t>
        </is>
      </c>
      <c r="F155" s="2" t="inlineStr">
        <is>
          <t>собирает на себя</t>
        </is>
      </c>
      <c r="G155" s="2" t="inlineStr">
        <is>
          <t>Wire transfer to Singapore bank account within 5 business days after event.</t>
        </is>
      </c>
      <c r="H155" s="2" t="inlineStr">
        <is>
          <t>percent_plus_fixed</t>
        </is>
      </c>
      <c r="I155" s="2" t="inlineStr">
        <is>
          <t>• Ticketing fee: 4.9% +0.99 — processing included</t>
        </is>
      </c>
      <c r="J155" s="2" t="inlineStr"/>
      <c r="K155" s="2" t="inlineStr">
        <is>
          <t>включён: True; свой процессинг: False; included</t>
        </is>
      </c>
      <c r="L155" s="2" t="inlineStr">
        <is>
          <t>organiser</t>
        </is>
      </c>
      <c r="M155" s="2" t="inlineStr">
        <is>
          <t>free</t>
        </is>
      </c>
      <c r="N155" s="2" t="inlineStr"/>
      <c r="O155" s="2" t="inlineStr">
        <is>
          <t>5 business days after event end</t>
        </is>
      </c>
      <c r="P155" s="2" t="inlineStr"/>
      <c r="Q155" s="2" t="inlineStr"/>
      <c r="R155" s="2" t="inlineStr"/>
      <c r="S155" s="2" t="inlineStr"/>
      <c r="T155" s="2" t="inlineStr"/>
      <c r="U155" s="2" t="inlineStr">
        <is>
          <t>community / workshop / small-event organisers worldwide, strong in Japan and Southeast Asia; buyer pays no booking fee</t>
        </is>
      </c>
      <c r="V155" s="2" t="inlineStr">
        <is>
          <t>page</t>
        </is>
      </c>
      <c r="W155" s="2" t="inlineStr">
        <is>
          <t>https://help-organizer.peatix.com/en/support/solutions/articles/44001821779-peatix-pricing (fee table)</t>
        </is>
      </c>
    </row>
    <row r="156">
      <c r="A156" s="2" t="inlineStr">
        <is>
          <t>Азия, Океания, Ближний Восток</t>
        </is>
      </c>
      <c r="B156" s="22" t="inlineStr">
        <is>
          <t>Peatix</t>
        </is>
      </c>
      <c r="C156" s="2" t="inlineStr">
        <is>
          <t>https://peatix.com</t>
        </is>
      </c>
      <c r="D156" s="2" t="inlineStr">
        <is>
          <t>Other APAC (MY, ID, IN, KR, TW, TH, PH, VN, NZ)</t>
        </is>
      </c>
      <c r="E156" s="2" t="inlineStr">
        <is>
          <t>MYR / USD / TWD / THB / PHP / NZD (per country)</t>
        </is>
      </c>
      <c r="F156" s="2" t="inlineStr">
        <is>
          <t>собирает на себя</t>
        </is>
      </c>
      <c r="G156" s="2" t="inlineStr">
        <is>
          <t>Payout to organiser's PayPal for all these countries (bank wire only JP and SG); no international transfer service.</t>
        </is>
      </c>
      <c r="H156" s="2" t="inlineStr">
        <is>
          <t>percent_plus_fixed</t>
        </is>
      </c>
      <c r="I156" s="2" t="inlineStr">
        <is>
          <t>• Malaysia: 4.9% +1.99 — MYR 1.99; from 1 June 2026 new MY events switch to USD with 4.9% + USD 0.50
• India, Indonesia, South Korea, Vietnam: 4.9% +1.5 — tickets and payout in USD
• Taiwan: 4.9% +35 — TWD 35
• Thailand: 4.9% +35 — THB 35
• Philippines: 4.9% +50 — PHP 50
• New Zealand: 4.9% +1.5 — NZD 1.50</t>
        </is>
      </c>
      <c r="J156" s="2" t="inlineStr"/>
      <c r="K156" s="2" t="inlineStr">
        <is>
          <t>включён: True; свой процессинг: False; included in 4.9% + fixed</t>
        </is>
      </c>
      <c r="L156" s="2" t="inlineStr">
        <is>
          <t>organiser</t>
        </is>
      </c>
      <c r="M156" s="2" t="inlineStr">
        <is>
          <t>free</t>
        </is>
      </c>
      <c r="N156" s="2" t="inlineStr"/>
      <c r="O156" s="2" t="inlineStr">
        <is>
          <t>within 5 business days after event end, via PayPal</t>
        </is>
      </c>
      <c r="P156" s="2" t="inlineStr"/>
      <c r="Q156" s="2" t="inlineStr"/>
      <c r="R156" s="2" t="inlineStr"/>
      <c r="S156" s="2" t="inlineStr"/>
      <c r="T156" s="2" t="inlineStr"/>
      <c r="U156" s="2" t="inlineStr">
        <is>
          <t>community / workshop / small-event organisers worldwide, strong in Japan and Southeast Asia; buyer pays no booking fee</t>
        </is>
      </c>
      <c r="V156" s="2" t="inlineStr">
        <is>
          <t>page</t>
        </is>
      </c>
      <c r="W156" s="2" t="inlineStr">
        <is>
          <t>https://help-organizer.peatix.com/en/support/solutions/articles/44001821779-peatix-pricing (fee table)</t>
        </is>
      </c>
    </row>
    <row r="157">
      <c r="A157" s="2" t="inlineStr">
        <is>
          <t>Азия, Океания, Ближний Восток</t>
        </is>
      </c>
      <c r="B157" s="22" t="inlineStr">
        <is>
          <t>Peatix</t>
        </is>
      </c>
      <c r="C157" s="2" t="inlineStr">
        <is>
          <t>https://peatix.com</t>
        </is>
      </c>
      <c r="D157" s="2" t="inlineStr">
        <is>
          <t>Europe / UK (AT, BE, FR, DE, IE, IT, LU, NL, ES, UK)</t>
        </is>
      </c>
      <c r="E157" s="2" t="inlineStr">
        <is>
          <t>EUR / GBP</t>
        </is>
      </c>
      <c r="F157" s="2" t="inlineStr">
        <is>
          <t>собирает на себя</t>
        </is>
      </c>
      <c r="G157" s="2" t="inlineStr">
        <is>
          <t>Payout via PayPal after the event.</t>
        </is>
      </c>
      <c r="H157" s="2" t="inlineStr">
        <is>
          <t>percent_plus_fixed</t>
        </is>
      </c>
      <c r="I157" s="2" t="inlineStr">
        <is>
          <t>• Ticketing fee: 4.9% +0.99 — processing included — EUR 0.99 or GBP 0.99</t>
        </is>
      </c>
      <c r="J157" s="2" t="inlineStr"/>
      <c r="K157" s="2" t="inlineStr">
        <is>
          <t>включён: True; свой процессинг: False; included</t>
        </is>
      </c>
      <c r="L157" s="2" t="inlineStr">
        <is>
          <t>organiser</t>
        </is>
      </c>
      <c r="M157" s="2" t="inlineStr">
        <is>
          <t>free</t>
        </is>
      </c>
      <c r="N157" s="2" t="inlineStr"/>
      <c r="O157" s="2" t="inlineStr">
        <is>
          <t>within 5 business days after event, PayPal</t>
        </is>
      </c>
      <c r="P157" s="2" t="inlineStr"/>
      <c r="Q157" s="2" t="inlineStr"/>
      <c r="R157" s="2" t="inlineStr"/>
      <c r="S157" s="2" t="inlineStr"/>
      <c r="T157" s="2" t="inlineStr"/>
      <c r="U157" s="2" t="inlineStr">
        <is>
          <t>community / workshop / small-event organisers worldwide, strong in Japan and Southeast Asia; buyer pays no booking fee</t>
        </is>
      </c>
      <c r="V157" s="2" t="inlineStr">
        <is>
          <t>page</t>
        </is>
      </c>
      <c r="W157" s="2" t="inlineStr">
        <is>
          <t>https://help-organizer.peatix.com/en/support/solutions/articles/44001821779-peatix-pricing (fee table)</t>
        </is>
      </c>
    </row>
    <row r="158">
      <c r="A158" s="2" t="inlineStr">
        <is>
          <t>Азия, Океания, Ближний Восток</t>
        </is>
      </c>
      <c r="B158" s="22" t="inlineStr">
        <is>
          <t>teket</t>
        </is>
      </c>
      <c r="C158" s="2" t="inlineStr">
        <is>
          <t>https://teket.jp</t>
        </is>
      </c>
      <c r="D158" s="2" t="inlineStr">
        <is>
          <t>Japan</t>
        </is>
      </c>
      <c r="E158" s="2" t="inlineStr">
        <is>
          <t>JPY</t>
        </is>
      </c>
      <c r="F158" s="2" t="inlineStr">
        <is>
          <t>собирает на себя</t>
        </is>
      </c>
      <c r="G158" s="2" t="inlineStr">
        <is>
          <t>Pays ticket proceeds to registered bank account (sales proceeds transfer section in help centre); timing not read.</t>
        </is>
      </c>
      <c r="H158" s="2" t="inlineStr">
        <is>
          <t>percent</t>
        </is>
      </c>
      <c r="I158" s="2" t="inlineStr">
        <is>
          <t>• Paid, free-seating or live-stream: 8.0% +0 — issuing fee 0 JPY — 8% of sales
• Paid, reserved seats: 10.0% +0 — issuing fee 0 JPY — 10% of sales
• Free events: 0% +0 — completely free, unlimited events</t>
        </is>
      </c>
      <c r="J158" s="2" t="inlineStr"/>
      <c r="K158" s="2" t="inlineStr">
        <is>
          <t>включён: None; свой процессинг: False; credit card, convenience store</t>
        </is>
      </c>
      <c r="L158" s="2" t="inlineStr">
        <is>
          <t>organiser</t>
        </is>
      </c>
      <c r="M158" s="2" t="inlineStr">
        <is>
          <t>free events cost nothing; coupon-zeroed tickets are not charged</t>
        </is>
      </c>
      <c r="N158" s="2" t="inlineStr">
        <is>
          <t>reserved seat events 10% instead of 8% (+2 points)</t>
        </is>
      </c>
      <c r="O158" s="2" t="inlineStr">
        <is>
          <t>bank transfer; one comparison site lists a 220 JPY transfer fee (third party)</t>
        </is>
      </c>
      <c r="P158" s="2" t="inlineStr"/>
      <c r="Q158" s="2" t="inlineStr">
        <is>
          <t>not stated whether consumption tax is included</t>
        </is>
      </c>
      <c r="R158" s="2" t="inlineStr">
        <is>
          <t>• buyer pays 0 JPY extra per ticket according to third-party comparison</t>
        </is>
      </c>
      <c r="S158" s="2" t="inlineStr"/>
      <c r="T158" s="2" t="inlineStr"/>
      <c r="U158" s="2" t="inlineStr">
        <is>
          <t>Japanese halls, theatres, orchestras, culture events; strong on reserved seats</t>
        </is>
      </c>
      <c r="V158" s="2" t="inlineStr">
        <is>
          <t>page</t>
        </is>
      </c>
      <c r="W158" s="2" t="inlineStr">
        <is>
          <t>https://help.teket.jp/hc/ja/articles/360031108231 (help article on fees (Japanese))
https://ticket-mikata.com/passmarket-ikou/ (third-party comparison with transfer fee)</t>
        </is>
      </c>
    </row>
    <row r="159">
      <c r="A159" s="2" t="inlineStr">
        <is>
          <t>Азия, Океания, Ближний Восток</t>
        </is>
      </c>
      <c r="B159" s="22" t="inlineStr">
        <is>
          <t>LivePocket</t>
        </is>
      </c>
      <c r="C159" s="2" t="inlineStr">
        <is>
          <t>https://livepocket.jp</t>
        </is>
      </c>
      <c r="D159" s="2" t="inlineStr">
        <is>
          <t>Japan</t>
        </is>
      </c>
      <c r="E159" s="2" t="inlineStr">
        <is>
          <t>JPY</t>
        </is>
      </c>
      <c r="F159" s="2" t="inlineStr">
        <is>
          <t>собирает на себя</t>
        </is>
      </c>
      <c r="G159" s="2" t="inlineStr">
        <is>
          <t>LivePocket collects and pays twice a month: sales settled from event end date; events ending on the 1st-15th settle on the 16th and pay at month end, 16th-end settle next 1st and pay on the 15th. Transfer fee 500 JPY (excl. tax) per payout, deducted.</t>
        </is>
      </c>
      <c r="H159" s="2" t="inlineStr">
        <is>
          <t>percent</t>
        </is>
      </c>
      <c r="I159" s="2" t="inlineStr">
        <is>
          <t>• Sales fee: 5.0% +0 — no setup, no monthly, no event registration fee — can be set to buyer-borne, making organiser's fee 0</t>
        </is>
      </c>
      <c r="J159" s="2" t="inlineStr"/>
      <c r="K159" s="2" t="inlineStr">
        <is>
          <t>включён: True; свой процессинг: False; credit card, convenience store, atone deferred payment; buyer-paid extras: convenience store 200 JPY (&lt;50,000) or 400 JPY (&gt;=50,000) excl. tax; atone deferred 200 JPY</t>
        </is>
      </c>
      <c r="L159" s="2" t="inlineStr">
        <is>
          <t>configurable</t>
        </is>
      </c>
      <c r="M159" s="2" t="inlineStr">
        <is>
          <t>free ticket 0%</t>
        </is>
      </c>
      <c r="N159" s="2" t="inlineStr">
        <is>
          <t>reserved seats and paper tickets are available (third-party note), no separate surcharge shown</t>
        </is>
      </c>
      <c r="O159" s="2" t="inlineStr">
        <is>
          <t>twice monthly, 3 business days after settlement date statement; refunds deducted</t>
        </is>
      </c>
      <c r="P159" s="2" t="inlineStr">
        <is>
          <t>refunded amounts deducted from payout</t>
        </is>
      </c>
      <c r="Q159" s="2" t="inlineStr">
        <is>
          <t>transfer fee quoted excl. tax (500 JPY) on the official page; system fee 165 JPY incl. tax</t>
        </is>
      </c>
      <c r="R159" s="2" t="inlineStr">
        <is>
          <t>• paid tickets carry a buyer system fee of 165 JPY incl. tax on top (per ticket count)
• buyer-borne mode adds 5% purchase fee for buyer</t>
        </is>
      </c>
      <c r="S159" s="2" t="inlineStr"/>
      <c r="T159" s="2" t="inlineStr"/>
      <c r="U159" s="2" t="inlineStr">
        <is>
          <t>Japanese self-serve e-ticketing for live houses, idols, events; no screening</t>
        </is>
      </c>
      <c r="V159" s="2" t="inlineStr">
        <is>
          <t>page</t>
        </is>
      </c>
      <c r="W159" s="2" t="inlineStr">
        <is>
          <t>https://livepocket.jp/owner/sell_commission/ (official fee page (Japanese))</t>
        </is>
      </c>
    </row>
    <row r="160">
      <c r="A160" s="2" t="inlineStr">
        <is>
          <t>Азия, Океания, Ближний Восток</t>
        </is>
      </c>
      <c r="B160" s="22" t="inlineStr">
        <is>
          <t>TIGET</t>
        </is>
      </c>
      <c r="C160" s="2" t="inlineStr">
        <is>
          <t>https://tiget.net</t>
        </is>
      </c>
      <c r="D160" s="2" t="inlineStr">
        <is>
          <t>Japan</t>
        </is>
      </c>
      <c r="E160" s="2" t="inlineStr">
        <is>
          <t>JPY</t>
        </is>
      </c>
      <c r="F160" s="2" t="inlineStr">
        <is>
          <t>собирает на себя</t>
        </is>
      </c>
      <c r="G160" s="2" t="inlineStr">
        <is>
          <t>Payout after the event by bank transfer (monthly cycle per a third-party review); transfer fee 550 JPY per third-party comparison.</t>
        </is>
      </c>
      <c r="H160" s="2" t="inlineStr">
        <is>
          <t>percent</t>
        </is>
      </c>
      <c r="I160" s="2" t="inlineStr">
        <is>
          <t>• Self-serve, organiser pays: 5.5% +0 — free for free tickets/reservations — 5.5% selectable organiser- or buyer-borne; buyer-borne makes organiser fee 0
• Self-serve with live streaming: 11.0% — streaming fee applies — snippet: 'live streaming fee arises, sales fee becomes 11%'
• Consignment sales (back-office service): 8.0% — minimum guarantee applies — snippet only</t>
        </is>
      </c>
      <c r="J160" s="2" t="inlineStr"/>
      <c r="K160" s="2" t="inlineStr">
        <is>
          <t>включён: True; свой процессинг: False; credit card, convenience store</t>
        </is>
      </c>
      <c r="L160" s="2" t="inlineStr">
        <is>
          <t>configurable</t>
        </is>
      </c>
      <c r="M160" s="2" t="inlineStr">
        <is>
          <t>free for free tickets and reservations</t>
        </is>
      </c>
      <c r="N160" s="2" t="inlineStr">
        <is>
          <t>reserved seat function exists; surcharge not confirmed</t>
        </is>
      </c>
      <c r="O160" s="2" t="inlineStr">
        <is>
          <t>after event; 550 JPY transfer fee (third party)</t>
        </is>
      </c>
      <c r="P160" s="2" t="inlineStr"/>
      <c r="Q160" s="2" t="inlineStr">
        <is>
          <t>5.5% quoted excl. tax in one source</t>
        </is>
      </c>
      <c r="R160" s="2" t="inlineStr">
        <is>
          <t>• if buyer pays, third party shows about 319 JPY per ticket for a 3,000 JPY ticket (5.5% plus system fee)
• 'artist support plan' with 0% organiser sales fee was announced on X in 2021 (snippet)</t>
        </is>
      </c>
      <c r="S160" s="2" t="inlineStr"/>
      <c r="T160" s="2" t="inlineStr"/>
      <c r="U160" s="2" t="inlineStr">
        <is>
          <t>live houses, idols, small venues; strong SNS integration; also consignment (box-office back office) service</t>
        </is>
      </c>
      <c r="V160" s="2" t="inlineStr">
        <is>
          <t>third_party</t>
        </is>
      </c>
      <c r="W160" s="2" t="inlineStr">
        <is>
          <t>https://ticket-mikata.com/passmarket-ikou/ (third-party fee comparison dated 2026-09)
https://ticketing-lab.jp/services/tiget/ (third-party review)
https://help.tiget.net/organizer/post/start-sales-fees (official help page, content not extractable (search snippet only))</t>
        </is>
      </c>
    </row>
    <row r="161">
      <c r="A161" s="2" t="inlineStr">
        <is>
          <t>Азия, Океания, Ближний Восток</t>
        </is>
      </c>
      <c r="B161" s="22" t="inlineStr">
        <is>
          <t>PassMarket (Yahoo! JAPAN)</t>
        </is>
      </c>
      <c r="C161" s="2" t="inlineStr">
        <is>
          <t>https://passmarket.yahoo.co.jp</t>
        </is>
      </c>
      <c r="D161" s="2" t="inlineStr">
        <is>
          <t>Japan</t>
        </is>
      </c>
      <c r="E161" s="2" t="inlineStr">
        <is>
          <t>JPY</t>
        </is>
      </c>
      <c r="F161" s="2" t="inlineStr">
        <is>
          <t>собирает на себя</t>
        </is>
      </c>
      <c r="G161" s="2" t="inlineStr">
        <is>
          <t>Service shut down 2026-06-30, organiser tools 2026-08-31; page now shows termination notice.</t>
        </is>
      </c>
      <c r="H161" s="2" t="inlineStr">
        <is>
          <t>percent</t>
        </is>
      </c>
      <c r="I161" s="2" t="inlineStr">
        <is>
          <t>• Basic plan (former): 3.564% +0 — transfer fee 0, buyer fee 0 (card/PayPay) — no longer offered</t>
        </is>
      </c>
      <c r="J161" s="2" t="inlineStr"/>
      <c r="K161" s="2" t="inlineStr">
        <is>
          <t>включён: True; свой процессинг: False</t>
        </is>
      </c>
      <c r="L161" s="2" t="inlineStr">
        <is>
          <t>organiser</t>
        </is>
      </c>
      <c r="M161" s="2" t="inlineStr">
        <is>
          <t>free</t>
        </is>
      </c>
      <c r="N161" s="2" t="inlineStr"/>
      <c r="O161" s="2" t="inlineStr"/>
      <c r="P161" s="2" t="inlineStr"/>
      <c r="Q161" s="2" t="inlineStr">
        <is>
          <t>3.564% was tax-inclusive</t>
        </is>
      </c>
      <c r="R161" s="2" t="inlineStr">
        <is>
          <t>• benchmark: former 3.564% sets Japanese expectations; migrating organisers pay more elsewhere</t>
        </is>
      </c>
      <c r="S161" s="2" t="inlineStr"/>
      <c r="T161" s="2" t="inlineStr"/>
      <c r="U161" s="2" t="inlineStr">
        <is>
          <t>was the cheapest Japanese e-ticket service; CLOSED</t>
        </is>
      </c>
      <c r="V161" s="2" t="inlineStr">
        <is>
          <t>page</t>
        </is>
      </c>
      <c r="W161" s="2" t="inlineStr">
        <is>
          <t>https://passmarket.yahoo.co.jp/ (termination notice)
https://ticket-mikata.com/passmarket-ikou/ (former fee and closing dates)</t>
        </is>
      </c>
    </row>
    <row r="162">
      <c r="A162" s="2" t="inlineStr">
        <is>
          <t>Азия, Океания, Ближний Восток</t>
        </is>
      </c>
      <c r="B162" s="22" t="inlineStr">
        <is>
          <t>Ticket2U</t>
        </is>
      </c>
      <c r="C162" s="2" t="inlineStr">
        <is>
          <t>https://www.ticket2u.com.my</t>
        </is>
      </c>
      <c r="D162" s="2" t="inlineStr">
        <is>
          <t>Malaysia</t>
        </is>
      </c>
      <c r="E162" s="2" t="inlineStr">
        <is>
          <t>MYR</t>
        </is>
      </c>
      <c r="F162" s="2" t="inlineStr">
        <is>
          <t>собирает на себя</t>
        </is>
      </c>
      <c r="G162" s="2" t="inlineStr">
        <is>
          <t>Collects, then default payout within 14 working days after event; bi-weekly (14th/28th) or monthly (28th) with a signed payout agreement; exclusive 2-year sub-account merchants get direct payout (direct_merchant) - certain event types only.</t>
        </is>
      </c>
      <c r="H162" s="2" t="inlineStr">
        <is>
          <t>percent</t>
        </is>
      </c>
      <c r="I162" s="2" t="inlineStr">
        <is>
          <t>• Standard fee (per event): 5.0% мин 2.0 — zero setup, e-ticket + QR, advanced settings, organiser app, check-in manager — page shows '6% 5%' (6% apparently struck through after a rate cut); 'or min RM2/ticket whichever higher'; 2020 LinkedIn post said 6% or RM2
• Terms fee (exclusive 1 year, volume over 1 million): 4.0% мин 2.0 — shown as '5% 4%'
• High volume fee (exclusive 2 years, volume over 5 million): 3.0% мин 2.0 — shown as '4% 3%'</t>
        </is>
      </c>
      <c r="J162" s="2" t="inlineStr"/>
      <c r="K162" s="2" t="inlineStr">
        <is>
          <t>включён: True; свой процессинг: False; FPX, Visa/Mastercard, debit, e-wallets, 7-Eleven counter, BNPL; no processing fee imposed on any party</t>
        </is>
      </c>
      <c r="L162" s="2" t="inlineStr">
        <is>
          <t>configurable</t>
        </is>
      </c>
      <c r="M162" s="2" t="inlineStr">
        <is>
          <t>free events free; advanced settings, apps only for paid events; extra SMS/WhatsApp/email notifications charged</t>
        </is>
      </c>
      <c r="N162" s="2" t="inlineStr">
        <is>
          <t>seating chart, seat holding, table management listed as included advanced settings (paid events); custom seating chart setup 'contact us'</t>
        </is>
      </c>
      <c r="O162" s="2" t="inlineStr">
        <is>
          <t>see money_flow_notes; ad-hoc payout needs RM500,000 sales</t>
        </is>
      </c>
      <c r="P162" s="2" t="inlineStr">
        <is>
          <t>not stated</t>
        </is>
      </c>
      <c r="Q162" s="2" t="inlineStr">
        <is>
          <t>buyer-side tax line shown in calculator (SST), amount not stated</t>
        </is>
      </c>
      <c r="R162" s="2" t="inlineStr">
        <is>
          <t>• fee-pass modes: pass on to buyer, absorb, or split (e.g. 2%:3%)
• NGO / charity event -1% (needs certificate, exclusive event with Ticket2U logo on all marketing)
• scanner and kiosk rental, facial recognition, lucky draw etc. on request
• page is a 'beta' with verified organisers only</t>
        </is>
      </c>
      <c r="S162" s="2" t="inlineStr">
        <is>
          <t>• {"name": "handheld scanner rental, kiosk, crew", "price": "contact"}</t>
        </is>
      </c>
      <c r="T162" s="2" t="inlineStr">
        <is>
          <t>contract fee tiers above; sub-account direct payout by agreement</t>
        </is>
      </c>
      <c r="U162" s="2" t="inlineStr">
        <is>
          <t>Malaysian concerts, seminars, sports; also SG, ID, TH sites; verified organisers only</t>
        </is>
      </c>
      <c r="V162" s="2" t="inlineStr">
        <is>
          <t>page</t>
        </is>
      </c>
      <c r="W162" s="2" t="inlineStr">
        <is>
          <t>https://www.ticket2u.com.my/fee (official fee page)
https://www.linkedin.com/pulse/flexible-rates-ticket2u-event-organiser-yc-chia (snippet of 2020 post (6% or RM2))</t>
        </is>
      </c>
    </row>
    <row r="163">
      <c r="A163" s="2" t="inlineStr">
        <is>
          <t>Азия, Океания, Ближний Восток</t>
        </is>
      </c>
      <c r="B163" s="22" t="inlineStr">
        <is>
          <t>Goers (GOERS YES)</t>
        </is>
      </c>
      <c r="C163" s="2" t="inlineStr">
        <is>
          <t>https://www.goersapp.com</t>
        </is>
      </c>
      <c r="D163" s="2" t="inlineStr">
        <is>
          <t>Indonesia</t>
        </is>
      </c>
      <c r="E163" s="2" t="inlineStr">
        <is>
          <t>IDR</t>
        </is>
      </c>
      <c r="F163" s="2" t="inlineStr">
        <is>
          <t>собирает на себя</t>
        </is>
      </c>
      <c r="G163" s="2" t="inlineStr">
        <is>
          <t>Platform collects; organiser may withdraw up to 70% of ticket sales before the event ends.</t>
        </is>
      </c>
      <c r="H163" s="2" t="inlineStr">
        <is>
          <t>mixed</t>
        </is>
      </c>
      <c r="I163" s="2" t="inlineStr">
        <is>
          <t>• Lite: 0% +0 — max 3,000 tickets (paid + free) per event; basic features — IDR 1,999,999 per EVENT, paid upfront, no commission
• Pro: 5.0% мин 3000 — unlimited paid and free tickets; virtual/hybrid events — 5% commission, minimum IDR 3,000 per ticket
• Ultimate:  — flexible who-bears-fee, large events — contact for quote</t>
        </is>
      </c>
      <c r="J163" s="2" t="inlineStr"/>
      <c r="K163" s="2" t="inlineStr">
        <is>
          <t>включён: None; свой процессинг: False; buyer sees 'GOERS handling fee and bank fee' on top</t>
        </is>
      </c>
      <c r="L163" s="2" t="inlineStr">
        <is>
          <t>buyer</t>
        </is>
      </c>
      <c r="M163" s="2" t="inlineStr">
        <is>
          <t>counted inside Lite's 3,000-ticket cap</t>
        </is>
      </c>
      <c r="N163" s="2" t="inlineStr">
        <is>
          <t>not stated</t>
        </is>
      </c>
      <c r="O163" s="2" t="inlineStr">
        <is>
          <t>up to 70% advance before event end</t>
        </is>
      </c>
      <c r="P163" s="2" t="inlineStr">
        <is>
          <t>not stated</t>
        </is>
      </c>
      <c r="Q163" s="2" t="inlineStr">
        <is>
          <t>taxes extra: buyer prices 'exclude tax and admin fee' per event listings</t>
        </is>
      </c>
      <c r="R163" s="2" t="inlineStr">
        <is>
          <t>• '* = extra charges' footnotes on both plans without detail
• POS, manpower, ID badge etc. priced separately (ID badge from IDR 5,000; manpower from IDR 500,000 per person)</t>
        </is>
      </c>
      <c r="S163" s="2" t="inlineStr">
        <is>
          <t>• {"name": "ID badge", "price": "from IDR 5,000"}
• {"name": "manpower", "price": "from IDR 500,000 per person"}</t>
        </is>
      </c>
      <c r="T163" s="2" t="inlineStr">
        <is>
          <t>Ultimate by quote</t>
        </is>
      </c>
      <c r="U163" s="2" t="inlineStr">
        <is>
          <t>Indonesian events, attractions, festivals; offers ticketing, POS, cashless</t>
        </is>
      </c>
      <c r="V163" s="2" t="inlineStr">
        <is>
          <t>page</t>
        </is>
      </c>
      <c r="W163" s="2" t="inlineStr">
        <is>
          <t>https://www.goersapp.com/yes/ (GOERS YES plans)
https://www.goersapp.com/blog/layanan-goers/ (plan explainer, March 2025)</t>
        </is>
      </c>
    </row>
    <row r="164">
      <c r="A164" s="2" t="inlineStr">
        <is>
          <t>Азия, Океания, Ближний Восток</t>
        </is>
      </c>
      <c r="B164" s="22" t="inlineStr">
        <is>
          <t>Megatix</t>
        </is>
      </c>
      <c r="C164" s="2" t="inlineStr">
        <is>
          <t>https://megatix.asia</t>
        </is>
      </c>
      <c r="D164" s="2" t="inlineStr">
        <is>
          <t>Asia-Pacific (all country sites)</t>
        </is>
      </c>
      <c r="E164" s="2" t="n"/>
      <c r="F164" s="2" t="inlineStr">
        <is>
          <t>собирает на себя</t>
        </is>
      </c>
      <c r="G164" s="2" t="inlineStr">
        <is>
          <t>Platform settles to organiser; 'settlement arrangements clearly set out from the start', tailored arrangements for large/recurring events; terms not published.</t>
        </is>
      </c>
      <c r="H164" s="2" t="inlineStr">
        <is>
          <t>free_buyer_pays</t>
        </is>
      </c>
      <c r="I164" s="2" t="inlineStr">
        <is>
          <t>• Standard:  — full feature set, reserved seating, own-site embedding, buyer data ownership — free for organisers, ticket buyers pay the fees; no numbers published</t>
        </is>
      </c>
      <c r="J164" s="2" t="inlineStr"/>
      <c r="K164" s="2" t="inlineStr">
        <is>
          <t>включён: None; свой процессинг: None</t>
        </is>
      </c>
      <c r="L164" s="2" t="inlineStr">
        <is>
          <t>buyer</t>
        </is>
      </c>
      <c r="M164" s="2" t="inlineStr">
        <is>
          <t>free events always free for organisers and attendees</t>
        </is>
      </c>
      <c r="N164" s="2" t="inlineStr">
        <is>
          <t>reserved seating supported; surcharge not stated</t>
        </is>
      </c>
      <c r="O164" s="2" t="inlineStr">
        <is>
          <t>not published</t>
        </is>
      </c>
      <c r="P164" s="2" t="inlineStr"/>
      <c r="Q164" s="2" t="inlineStr"/>
      <c r="R164" s="2" t="inlineStr">
        <is>
          <t>• fees can be passed to buyers, included in price, or absorbed
• tailored pricing for high-volume venues/attractions
• a third-party snippet (Seeka) mentions '$29 per month plus $0.006 per session' for an unclear product - not verified</t>
        </is>
      </c>
      <c r="S164" s="2" t="inlineStr"/>
      <c r="T164" s="2" t="inlineStr">
        <is>
          <t>tailored pricing, contact team</t>
        </is>
      </c>
      <c r="U164" s="2" t="inlineStr">
        <is>
          <t>APAC events, venues, attractions; sites for AU, HK, ID, JP, MY, NZ, SG, TW, TH, UK, VN, EU</t>
        </is>
      </c>
      <c r="V164" s="2" t="inlineStr">
        <is>
          <t>page</t>
        </is>
      </c>
      <c r="W164" s="2" t="inlineStr">
        <is>
          <t>https://megatix.com.au/sell-tickets (organiser page (AU))
https://megatix.asia/sell-tickets (organiser page (Asia))</t>
        </is>
      </c>
    </row>
    <row r="165">
      <c r="A165" s="2" t="inlineStr">
        <is>
          <t>Азия, Океания, Ближний Восток</t>
        </is>
      </c>
      <c r="B165" s="22" t="inlineStr">
        <is>
          <t>Ticketmelon</t>
        </is>
      </c>
      <c r="C165" s="2" t="inlineStr">
        <is>
          <t>https://organizer.ticketmelon.com</t>
        </is>
      </c>
      <c r="D165" s="2" t="inlineStr">
        <is>
          <t>Thailand / SEA</t>
        </is>
      </c>
      <c r="E165" s="2" t="inlineStr">
        <is>
          <t>THB</t>
        </is>
      </c>
      <c r="F165" s="2" t="inlineStr">
        <is>
          <t>собирает на себя</t>
        </is>
      </c>
      <c r="G165" s="2" t="inlineStr">
        <is>
          <t>Payout by request through the organiser dashboard; timing not published.</t>
        </is>
      </c>
      <c r="H165" s="2" t="inlineStr">
        <is>
          <t>percent</t>
        </is>
      </c>
      <c r="I165" s="2" t="inlineStr"/>
      <c r="J165" s="2" t="inlineStr"/>
      <c r="K165" s="2" t="inlineStr">
        <is>
          <t>включён: None; свой процессинг: None; organiser can absorb all fees, pass all to buyers, or split in 0.5% steps (fee = payment gateway + Ticketmelon service fee)</t>
        </is>
      </c>
      <c r="L165" s="2" t="inlineStr">
        <is>
          <t>configurable</t>
        </is>
      </c>
      <c r="M165" s="2" t="inlineStr"/>
      <c r="N165" s="2" t="inlineStr"/>
      <c r="O165" s="2" t="inlineStr">
        <is>
          <t>payout request flow exists; schedule not published</t>
        </is>
      </c>
      <c r="P165" s="2" t="inlineStr"/>
      <c r="Q165" s="2" t="inlineStr"/>
      <c r="R165" s="2" t="inlineStr">
        <is>
          <t>• no public fee percentage found; site described as 'dynamic pricing system' and contact-based; the /others/pricing page returned 404</t>
        </is>
      </c>
      <c r="S165" s="2" t="inlineStr"/>
      <c r="T165" s="2" t="inlineStr">
        <is>
          <t>contact sales</t>
        </is>
      </c>
      <c r="U165" s="2" t="inlineStr">
        <is>
          <t>Thai (and SEA) concerts, festivals, fanmeets; payment gateway + service fee model</t>
        </is>
      </c>
      <c r="V165" s="2" t="inlineStr">
        <is>
          <t>page</t>
        </is>
      </c>
      <c r="W165" s="2" t="inlineStr">
        <is>
          <t>https://organizer.ticketmelon.com/help-center/who-pays-the-fees-of-your-event (who-pays help page)</t>
        </is>
      </c>
    </row>
    <row r="166">
      <c r="A166" s="2" t="inlineStr">
        <is>
          <t>Азия, Океания, Ближний Восток</t>
        </is>
      </c>
      <c r="B166" s="22" t="inlineStr">
        <is>
          <t>Townscript</t>
        </is>
      </c>
      <c r="C166" s="2" t="inlineStr">
        <is>
          <t>https://www.townscript.com</t>
        </is>
      </c>
      <c r="D166" s="2" t="inlineStr">
        <is>
          <t>India</t>
        </is>
      </c>
      <c r="E166" s="2" t="inlineStr">
        <is>
          <t>INR</t>
        </is>
      </c>
      <c r="F166" s="2" t="inlineStr">
        <is>
          <t>собирает на себя</t>
        </is>
      </c>
      <c r="G166" s="2" t="inlineStr">
        <is>
          <t>Townscript collects through its gateway and pays the organiser net; 1% TCS withheld for GST-registered organisers.</t>
        </is>
      </c>
      <c r="H166" s="2" t="inlineStr">
        <is>
          <t>percent_plus_fixed</t>
        </is>
      </c>
      <c r="I166" s="2" t="inlineStr">
        <is>
          <t>• Pay per ticket (support article, 2023): 1.99% +10 — no setup — 1.99% + Rs.10 Townscript fee, plus 1.99% payment gateway fee, plus 2% buyer platform fee; all + 18% GST</t>
        </is>
      </c>
      <c r="J166" s="2" t="inlineStr"/>
      <c r="K166" s="2" t="inlineStr">
        <is>
          <t>включён: False; свой процессинг: None; own gateway; gateway 1.99% (domestic); доп. сбор: 2% platform fee charged to attendee</t>
        </is>
      </c>
      <c r="L166" s="2" t="inlineStr">
        <is>
          <t>configurable</t>
        </is>
      </c>
      <c r="M166" s="2" t="inlineStr">
        <is>
          <t>free events no charge (snippet)</t>
        </is>
      </c>
      <c r="N166" s="2" t="inlineStr"/>
      <c r="O166" s="2" t="inlineStr">
        <is>
          <t>not read</t>
        </is>
      </c>
      <c r="P166" s="2" t="inlineStr"/>
      <c r="Q166" s="2" t="inlineStr">
        <is>
          <t>18% GST on Townscript fee and gateway fee; GST-registered organisers see 1% of ticket price withheld and filed on GSTIN (TCS)</t>
        </is>
      </c>
      <c r="R166" s="2" t="inlineStr">
        <is>
          <t>• current pricing page text could not be scraped; its search snippet reads 'Townscript fee 3% / 2% + 0 per ticket, payment gateway fee 2%' - ambiguous
• a competitor (KonfHub) claims Townscript is 6% + INR 10 per paid ticket - unverified
• international: third-party sources say 1.99% + USD 2 per ticket</t>
        </is>
      </c>
      <c r="S166" s="2" t="inlineStr"/>
      <c r="T166" s="2" t="inlineStr">
        <is>
          <t>contact (phone listed)</t>
        </is>
      </c>
      <c r="U166" s="2" t="inlineStr">
        <is>
          <t>Indian workshops, meetups, treks, conferences; pay-per-ticket</t>
        </is>
      </c>
      <c r="V166" s="2" t="inlineStr">
        <is>
          <t>snippet</t>
        </is>
      </c>
      <c r="W166" s="2" t="inlineStr">
        <is>
          <t>https://support.townscript.com/support/solutions/articles/1000098920-how-much-are-townscript-charges- (support article dated 2023-09)
https://www.townscript.com/pricing (pricing page (JS, snippet only))</t>
        </is>
      </c>
    </row>
    <row r="167">
      <c r="A167" s="2" t="inlineStr">
        <is>
          <t>Азия, Океания, Ближний Восток</t>
        </is>
      </c>
      <c r="B167" s="22" t="inlineStr">
        <is>
          <t>KonfHub</t>
        </is>
      </c>
      <c r="C167" s="2" t="inlineStr">
        <is>
          <t>https://konfhub.com</t>
        </is>
      </c>
      <c r="D167" s="2" t="inlineStr">
        <is>
          <t>India</t>
        </is>
      </c>
      <c r="E167" s="2" t="inlineStr">
        <is>
          <t>INR</t>
        </is>
      </c>
      <c r="F167" s="2" t="inlineStr">
        <is>
          <t>собирает на себя</t>
        </is>
      </c>
      <c r="G167" s="2" t="inlineStr">
        <is>
          <t>Automated weekly settlements every Thursday to the organiser's bank account via Razorpay; the site also has Stripe and Tap Payments pages (not read), so a direct option may exist.</t>
        </is>
      </c>
      <c r="H167" s="2" t="inlineStr">
        <is>
          <t>mixed</t>
        </is>
      </c>
      <c r="I167" s="2" t="inlineStr">
        <is>
          <t>• Freemium: 0% +0 — free tickets only, up to 100 registrations per event
• Lite: 2.0% — up to 300 registrations, UPI only — 2% + 18% GST
• Silver (default): 3.75% — up to 2,500 registrations, all payment methods, ticket categories, webhooks, API — 3.75% + 18% GST inclusive of payment gateway; non-INR tickets 5% + GST
• Gold:  — unlimited, white-label, custom sender, event app — custom</t>
        </is>
      </c>
      <c r="J167" s="2" t="inlineStr"/>
      <c r="K167" s="2" t="inlineStr">
        <is>
          <t>включён: True; свой процессинг: None; Razorpay; gateway typically 2-3% included in Silver</t>
        </is>
      </c>
      <c r="L167" s="2" t="inlineStr">
        <is>
          <t>configurable</t>
        </is>
      </c>
      <c r="M167" s="2" t="inlineStr">
        <is>
          <t>free allowed on all plans within registration caps</t>
        </is>
      </c>
      <c r="N167" s="2" t="inlineStr">
        <is>
          <t>not priced</t>
        </is>
      </c>
      <c r="O167" s="2" t="inlineStr">
        <is>
          <t>weekly on Thursdays</t>
        </is>
      </c>
      <c r="P167" s="2" t="inlineStr"/>
      <c r="Q167" s="2" t="inlineStr">
        <is>
          <t>18% GST on KonfHub fee and gateway fee</t>
        </is>
      </c>
      <c r="R167" s="2" t="inlineStr">
        <is>
          <t>• plans are per event; INR 10 per additional attendee beyond plan limit
• WhatsApp/SMS INR 1 per message</t>
        </is>
      </c>
      <c r="S167" s="2" t="inlineStr">
        <is>
          <t>• {"name": "WhatsApp / SMS default templates", "price": "INR 1 per message"}</t>
        </is>
      </c>
      <c r="T167" s="2" t="inlineStr">
        <is>
          <t>Gold custom</t>
        </is>
      </c>
      <c r="U167" s="2" t="inlineStr">
        <is>
          <t>tech conferences, meetups, workshops in India with international currencies via Razorpay; per-event plans</t>
        </is>
      </c>
      <c r="V167" s="2" t="inlineStr">
        <is>
          <t>page</t>
        </is>
      </c>
      <c r="W167" s="2" t="inlineStr">
        <is>
          <t>https://konfhub.com/pricing (pricing page)</t>
        </is>
      </c>
    </row>
    <row r="168">
      <c r="A168" s="2" t="inlineStr">
        <is>
          <t>Азия, Океания, Ближний Восток</t>
        </is>
      </c>
      <c r="B168" s="22" t="inlineStr">
        <is>
          <t>District by Zomato (ex-Insider / Paytm Insider)</t>
        </is>
      </c>
      <c r="C168" s="2" t="inlineStr">
        <is>
          <t>https://www.district.in</t>
        </is>
      </c>
      <c r="D168" s="2" t="inlineStr">
        <is>
          <t>India</t>
        </is>
      </c>
      <c r="E168" s="2" t="inlineStr">
        <is>
          <t>INR</t>
        </is>
      </c>
      <c r="F168" s="2" t="inlineStr">
        <is>
          <t>собирает на себя</t>
        </is>
      </c>
      <c r="G168" s="2" t="inlineStr">
        <is>
          <t>Zomato deducts commission, GST on commission, TDS and TCS from the gross ticket value and transfers the rest under a settlement process in the merchant agreement.</t>
        </is>
      </c>
      <c r="H168" s="2" t="inlineStr">
        <is>
          <t>negotiated</t>
        </is>
      </c>
      <c r="I168" s="2" t="inlineStr"/>
      <c r="J168" s="2" t="inlineStr"/>
      <c r="K168" s="2" t="inlineStr">
        <is>
          <t>включён: None; свой процессинг: False</t>
        </is>
      </c>
      <c r="L168" s="2" t="inlineStr">
        <is>
          <t>buyer</t>
        </is>
      </c>
      <c r="M168" s="2" t="inlineStr"/>
      <c r="N168" s="2" t="inlineStr"/>
      <c r="O168" s="2" t="inlineStr">
        <is>
          <t>per merchant agreement; not published</t>
        </is>
      </c>
      <c r="P168" s="2" t="inlineStr">
        <is>
          <t>merchant is liable for refunds when a 'zero cancellation fee' ticket is cancelled</t>
        </is>
      </c>
      <c r="Q168" s="2" t="inlineStr">
        <is>
          <t>commission carries GST; TDS and TCS also deducted</t>
        </is>
      </c>
      <c r="R168" s="2" t="inlineStr">
        <is>
          <t>• commission percentage is set per agreement ('as set out in this Agreement') - not public
• merchant issues its own GST invoices to buyers</t>
        </is>
      </c>
      <c r="S168" s="2" t="inlineStr"/>
      <c r="T168" s="2" t="inlineStr">
        <is>
          <t>contact; list-your-event page has no prices</t>
        </is>
      </c>
      <c r="U168" s="2" t="inlineStr">
        <is>
          <t>Indian marketplace for gigs, comedy, food events; marketplace commission instead of platform fee</t>
        </is>
      </c>
      <c r="V168" s="2" t="inlineStr">
        <is>
          <t>page</t>
        </is>
      </c>
      <c r="W168" s="2" t="inlineStr">
        <is>
          <t>https://www.zomato.com/policies/events/ (events T&amp;Cs (commission definition))</t>
        </is>
      </c>
    </row>
    <row r="169">
      <c r="A169" s="2" t="inlineStr">
        <is>
          <t>Азия, Океания, Ближний Восток</t>
        </is>
      </c>
      <c r="B169" s="22" t="inlineStr">
        <is>
          <t>BookMyShow</t>
        </is>
      </c>
      <c r="C169" s="2" t="inlineStr">
        <is>
          <t>https://in.bookmyshow.com/list-your-show</t>
        </is>
      </c>
      <c r="D169" s="2" t="inlineStr">
        <is>
          <t>India</t>
        </is>
      </c>
      <c r="E169" s="2" t="inlineStr">
        <is>
          <t>INR</t>
        </is>
      </c>
      <c r="F169" s="2" t="inlineStr">
        <is>
          <t>собирает на себя</t>
        </is>
      </c>
      <c r="G169" s="2" t="inlineStr">
        <is>
          <t>Not verified from an official page.</t>
        </is>
      </c>
      <c r="H169" s="2" t="inlineStr">
        <is>
          <t>negotiated</t>
        </is>
      </c>
      <c r="I169" s="2" t="inlineStr"/>
      <c r="J169" s="2" t="inlineStr"/>
      <c r="K169" s="2" t="inlineStr">
        <is>
          <t>включён: None; свой процессинг: None</t>
        </is>
      </c>
      <c r="L169" s="2" t="inlineStr">
        <is>
          <t>buyer</t>
        </is>
      </c>
      <c r="M169" s="2" t="inlineStr"/>
      <c r="N169" s="2" t="inlineStr"/>
      <c r="O169" s="2" t="inlineStr"/>
      <c r="P169" s="2" t="inlineStr">
        <is>
          <t>convenience fee non-refundable even on cancelled events (third-party site)</t>
        </is>
      </c>
      <c r="Q169" s="2" t="inlineStr">
        <is>
          <t>convenience fee carries 18% GST (third party)</t>
        </is>
      </c>
      <c r="R169" s="2" t="inlineStr">
        <is>
          <t>• organiser terms not published; consumer-side anecdotes: about 10% of ticket price + 18% GST (Reddit comment) or Rs.25 per ticket (CCI complaint summary) - not official</t>
        </is>
      </c>
      <c r="S169" s="2" t="inlineStr"/>
      <c r="T169" s="2" t="inlineStr">
        <is>
          <t>contact sales</t>
        </is>
      </c>
      <c r="U169" s="2" t="inlineStr">
        <is>
          <t>India's largest entertainment ticketing; contact-based listing for organisers</t>
        </is>
      </c>
      <c r="V169" s="2" t="inlineStr">
        <is>
          <t>snippet</t>
        </is>
      </c>
      <c r="W169" s="2" t="inlineStr">
        <is>
          <t>https://www.reddit.com/r/MalayalamMovies/comments/td24qq/ranjith_sankar_on_bookmyshow_charging_a_sizeable/ (search snippet only)
https://www.lexology.com/library/detail.aspx?g=fee53942-1607-4a31-bceb-ae17203e3ceb (search snippet on CCI complaint)</t>
        </is>
      </c>
    </row>
    <row r="170">
      <c r="A170" s="2" t="inlineStr">
        <is>
          <t>Азия, Океания, Ближний Восток</t>
        </is>
      </c>
      <c r="B170" s="22" t="inlineStr">
        <is>
          <t>Allevents</t>
        </is>
      </c>
      <c r="C170" s="2" t="inlineStr">
        <is>
          <t>https://allevents.in</t>
        </is>
      </c>
      <c r="D170" s="2" t="inlineStr">
        <is>
          <t>global</t>
        </is>
      </c>
      <c r="E170" s="2" t="n"/>
      <c r="F170" s="2" t="inlineStr">
        <is>
          <t>собирает на себя</t>
        </is>
      </c>
      <c r="G170" s="2" t="inlineStr">
        <is>
          <t>Not verified.</t>
        </is>
      </c>
      <c r="H170" s="2" t="n"/>
      <c r="I170" s="2" t="inlineStr"/>
      <c r="J170" s="2" t="inlineStr"/>
      <c r="K170" s="2" t="inlineStr">
        <is>
          <t>включён: None; свой процессинг: None</t>
        </is>
      </c>
      <c r="L170" s="2" t="inlineStr"/>
      <c r="M170" s="2" t="inlineStr"/>
      <c r="N170" s="2" t="inlineStr"/>
      <c r="O170" s="2" t="inlineStr"/>
      <c r="P170" s="2" t="inlineStr"/>
      <c r="Q170" s="2" t="inlineStr"/>
      <c r="R170" s="2" t="inlineStr">
        <is>
          <t>• pricing page scrapes returned event listings only, no fee table</t>
        </is>
      </c>
      <c r="S170" s="2" t="inlineStr"/>
      <c r="T170" s="2" t="inlineStr"/>
      <c r="U170" s="2" t="inlineStr">
        <is>
          <t>global event discovery site with ticketing add-on</t>
        </is>
      </c>
      <c r="V170" s="2" t="inlineStr">
        <is>
          <t>snippet</t>
        </is>
      </c>
      <c r="W170" s="2" t="inlineStr">
        <is>
          <t>https://allevents.in/pricing (page without extractable pricing)</t>
        </is>
      </c>
    </row>
    <row r="171">
      <c r="A171" s="2" t="inlineStr">
        <is>
          <t>Азия, Океания, Ближний Восток</t>
        </is>
      </c>
      <c r="B171" s="22" t="inlineStr">
        <is>
          <t>Biletino</t>
        </is>
      </c>
      <c r="C171" s="2" t="inlineStr">
        <is>
          <t>https://biletino.com</t>
        </is>
      </c>
      <c r="D171" s="2" t="inlineStr">
        <is>
          <t>Turkey</t>
        </is>
      </c>
      <c r="E171" s="2" t="inlineStr">
        <is>
          <t>TRY</t>
        </is>
      </c>
      <c r="F171" s="2" t="inlineStr">
        <is>
          <t>собирает на себя</t>
        </is>
      </c>
      <c r="G171" s="2" t="inlineStr">
        <is>
          <t>Pays organiser after event; early/interim payout possible (help article exists, not read).</t>
        </is>
      </c>
      <c r="H171" s="2" t="inlineStr">
        <is>
          <t>percent_plus_fixed</t>
        </is>
      </c>
      <c r="I171" s="2" t="inlineStr">
        <is>
          <t>• Paid events commission: 13.6% — bank commission and VAT included, taken from the category price — buyer additionally pays min 7.5 TRY incl. VAT transaction fee on top of the price</t>
        </is>
      </c>
      <c r="J171" s="2" t="inlineStr"/>
      <c r="K171" s="2" t="inlineStr">
        <is>
          <t>включён: True; свой процессинг: False; included</t>
        </is>
      </c>
      <c r="L171" s="2" t="inlineStr">
        <is>
          <t>organiser</t>
        </is>
      </c>
      <c r="M171" s="2" t="inlineStr">
        <is>
          <t>no fee for free events</t>
        </is>
      </c>
      <c r="N171" s="2" t="inlineStr">
        <is>
          <t>seat plan can be added at event creation (help article listed)</t>
        </is>
      </c>
      <c r="O171" s="2" t="inlineStr">
        <is>
          <t>not read</t>
        </is>
      </c>
      <c r="P171" s="2" t="inlineStr"/>
      <c r="Q171" s="2" t="inlineStr">
        <is>
          <t>13.6% includes bank commission and VAT</t>
        </is>
      </c>
      <c r="R171" s="2" t="inlineStr">
        <is>
          <t>• article dated 2023-12; figures may be out of date</t>
        </is>
      </c>
      <c r="S171" s="2" t="inlineStr"/>
      <c r="T171" s="2" t="inlineStr"/>
      <c r="U171" s="2" t="inlineStr">
        <is>
          <t>Turkish self-serve ticketing for small and mid events</t>
        </is>
      </c>
      <c r="V171" s="2" t="inlineStr">
        <is>
          <t>page</t>
        </is>
      </c>
      <c r="W171" s="2" t="inlineStr">
        <is>
          <t>https://helpcenter.biletino.com/support/solutions/articles/1070000032095-komisyon-oranlar-hakk-nda-bilgi-alabilir-miyim- (commission help article (Turkish))</t>
        </is>
      </c>
    </row>
    <row r="172">
      <c r="A172" s="2" t="inlineStr">
        <is>
          <t>Азия, Океания, Ближний Восток</t>
        </is>
      </c>
      <c r="B172" s="22" t="inlineStr">
        <is>
          <t>BiletiniYap</t>
        </is>
      </c>
      <c r="C172" s="2" t="inlineStr">
        <is>
          <t>https://biletiniyap.com</t>
        </is>
      </c>
      <c r="D172" s="2" t="inlineStr">
        <is>
          <t>Turkey</t>
        </is>
      </c>
      <c r="E172" s="2" t="inlineStr">
        <is>
          <t>TRY</t>
        </is>
      </c>
      <c r="F172" s="2" t="inlineStr">
        <is>
          <t>собирает на себя</t>
        </is>
      </c>
      <c r="G172" s="2" t="inlineStr">
        <is>
          <t>Pays organiser the next business day; 3D Secure payments.</t>
        </is>
      </c>
      <c r="H172" s="2" t="inlineStr">
        <is>
          <t>percent</t>
        </is>
      </c>
      <c r="I172" s="2" t="inlineStr">
        <is>
          <t>• Flat commission: 8.0% — own branded page, custom domain, QR offline scan, promo codes, affiliates, Meta ads tooling — no setup, no monthly, no commitment; launch-period commission advantage mentioned</t>
        </is>
      </c>
      <c r="J172" s="2" t="inlineStr"/>
      <c r="K172" s="2" t="inlineStr">
        <is>
          <t>включён: True; свой процессинг: False; included in 8%</t>
        </is>
      </c>
      <c r="L172" s="2" t="inlineStr">
        <is>
          <t>organiser</t>
        </is>
      </c>
      <c r="M172" s="2" t="inlineStr">
        <is>
          <t>free events supported (362-ticket free launch example); fee on free not stated</t>
        </is>
      </c>
      <c r="N172" s="2" t="inlineStr">
        <is>
          <t>not stated</t>
        </is>
      </c>
      <c r="O172" s="2" t="inlineStr">
        <is>
          <t>next business day</t>
        </is>
      </c>
      <c r="P172" s="2" t="inlineStr">
        <is>
          <t>cancellations and refunds FAQ exists, not read</t>
        </is>
      </c>
      <c r="Q172" s="2" t="inlineStr">
        <is>
          <t>8% includes VAT; statutory 1% withholding (stopaj) deducted separately</t>
        </is>
      </c>
      <c r="R172" s="2" t="inlineStr">
        <is>
          <t>• flat 8% described as 'no hidden fees' except 1% withholding
• comparison table claims other Turkish sites vary by contract</t>
        </is>
      </c>
      <c r="S172" s="2" t="inlineStr"/>
      <c r="T172" s="2" t="inlineStr">
        <is>
          <t>contact form</t>
        </is>
      </c>
      <c r="U172" s="2" t="inlineStr">
        <is>
          <t>white-label ticket pages with organiser's own brand/domain; clubs, workshops, festivals in Turkey</t>
        </is>
      </c>
      <c r="V172" s="2" t="inlineStr">
        <is>
          <t>page</t>
        </is>
      </c>
      <c r="W172" s="2" t="inlineStr">
        <is>
          <t>https://biletiniyap.com (landing page (Turkish))</t>
        </is>
      </c>
    </row>
    <row r="173">
      <c r="A173" s="2" t="inlineStr">
        <is>
          <t>Азия, Океания, Ближний Восток</t>
        </is>
      </c>
      <c r="B173" s="22" t="inlineStr">
        <is>
          <t>Biletix / Passo / Biletinial / Bubilet / Mobilet / biletimGO (Turkey, grouped)</t>
        </is>
      </c>
      <c r="C173" s="2" t="inlineStr">
        <is>
          <t>https://www.biletix.com</t>
        </is>
      </c>
      <c r="D173" s="2" t="inlineStr">
        <is>
          <t>Turkey</t>
        </is>
      </c>
      <c r="E173" s="2" t="inlineStr">
        <is>
          <t>TRY</t>
        </is>
      </c>
      <c r="F173" s="2" t="inlineStr">
        <is>
          <t>собирает на себя</t>
        </is>
      </c>
      <c r="G173" s="2" t="inlineStr">
        <is>
          <t>All sell on behalf of the organiser and settle later; none publishes a fee schedule.</t>
        </is>
      </c>
      <c r="H173" s="2" t="inlineStr">
        <is>
          <t>negotiated</t>
        </is>
      </c>
      <c r="I173" s="2" t="inlineStr"/>
      <c r="J173" s="2" t="inlineStr"/>
      <c r="K173" s="2" t="inlineStr">
        <is>
          <t>включён: None; свой процессинг: None</t>
        </is>
      </c>
      <c r="L173" s="2" t="inlineStr">
        <is>
          <t>buyer</t>
        </is>
      </c>
      <c r="M173" s="2" t="inlineStr"/>
      <c r="N173" s="2" t="inlineStr"/>
      <c r="O173" s="2" t="inlineStr"/>
      <c r="P173" s="2" t="inlineStr"/>
      <c r="Q173" s="2" t="inlineStr"/>
      <c r="R173" s="2" t="inlineStr">
        <is>
          <t>• biletimGO terms: sells in the organiser's name and charges a service fee per ticket, amount not published
• Bubilet terms: prices set by the organiser, no commission figure
• Mobilet promoter page: signup form and phone only; a forum comment says it takes 6% (anecdote)
• Biletix (Ticketmaster Business TR) and Passo: contact only; consumer forums mention buyer service fees around 10% plus a 4 TRY transaction fee (anecdote)
• Biletinial: nothing found</t>
        </is>
      </c>
      <c r="S173" s="2" t="inlineStr"/>
      <c r="T173" s="2" t="inlineStr">
        <is>
          <t>contact sales</t>
        </is>
      </c>
      <c r="U173" s="2" t="inlineStr">
        <is>
          <t>large Turkish ticketing marketplaces; organiser terms by contract</t>
        </is>
      </c>
      <c r="V173" s="2" t="inlineStr">
        <is>
          <t>snippet</t>
        </is>
      </c>
      <c r="W173" s="2" t="inlineStr">
        <is>
          <t>https://promoter.mobilet.com/ (Mobilet promoter page)
https://www.biletimgo.com/satis-politikasi-ve-sozlesmesi (biletimGO sales policy)
https://eksisozluk.com/mobilet--143464?p=13 (forum snippet (6% claim))</t>
        </is>
      </c>
    </row>
    <row r="174">
      <c r="A174" s="2" t="inlineStr">
        <is>
          <t>Азия, Океания, Ближний Восток</t>
        </is>
      </c>
      <c r="B174" s="22" t="inlineStr">
        <is>
          <t>Platinumlist</t>
        </is>
      </c>
      <c r="C174" s="2" t="inlineStr">
        <is>
          <t>https://platinumlist.net/for-organisers/</t>
        </is>
      </c>
      <c r="D174" s="2" t="inlineStr">
        <is>
          <t>GCC / MENA</t>
        </is>
      </c>
      <c r="E174" s="2" t="n"/>
      <c r="F174" s="2" t="inlineStr">
        <is>
          <t>собирает на себя</t>
        </is>
      </c>
      <c r="G174" s="2" t="inlineStr">
        <is>
          <t>Not published.</t>
        </is>
      </c>
      <c r="H174" s="2" t="inlineStr">
        <is>
          <t>negotiated</t>
        </is>
      </c>
      <c r="I174" s="2" t="inlineStr"/>
      <c r="J174" s="2" t="inlineStr"/>
      <c r="K174" s="2" t="inlineStr">
        <is>
          <t>включён: None; свой процессинг: None</t>
        </is>
      </c>
      <c r="L174" s="2" t="inlineStr"/>
      <c r="M174" s="2" t="inlineStr"/>
      <c r="N174" s="2" t="inlineStr">
        <is>
          <t>seat plan product exists; price not published</t>
        </is>
      </c>
      <c r="O174" s="2" t="inlineStr"/>
      <c r="P174" s="2" t="inlineStr"/>
      <c r="Q174" s="2" t="inlineStr"/>
      <c r="R174" s="2" t="inlineStr">
        <is>
          <t>• only 'Book a call' / contact; no commission or fee published</t>
        </is>
      </c>
      <c r="S174" s="2" t="inlineStr">
        <is>
          <t>• {"name": "DET permit application, staffing, ticket printing, scanners, digital marketing agency", "price": "not published"}</t>
        </is>
      </c>
      <c r="T174" s="2" t="inlineStr">
        <is>
          <t>contact sales</t>
        </is>
      </c>
      <c r="U174" s="2" t="inlineStr">
        <is>
          <t>GCC-leading ticketing (UAE, KSA, Bahrain, Qatar, Oman, Egypt etc.); managed, with permits, staffing, marketing services</t>
        </is>
      </c>
      <c r="V174" s="2" t="inlineStr">
        <is>
          <t>page</t>
        </is>
      </c>
      <c r="W174" s="2" t="inlineStr">
        <is>
          <t>https://platinumlist.net/for-organisers/ (organiser landing page)</t>
        </is>
      </c>
    </row>
    <row r="175">
      <c r="A175" s="2" t="inlineStr">
        <is>
          <t>Азия, Океания, Ближний Восток</t>
        </is>
      </c>
      <c r="B175" s="22" t="inlineStr">
        <is>
          <t>Q-Tickets</t>
        </is>
      </c>
      <c r="C175" s="2" t="inlineStr">
        <is>
          <t>https://events.q-tickets.com</t>
        </is>
      </c>
      <c r="D175" s="2" t="inlineStr">
        <is>
          <t>Qatar / GCC</t>
        </is>
      </c>
      <c r="E175" s="2" t="n"/>
      <c r="F175" s="2" t="inlineStr">
        <is>
          <t>собирает на себя</t>
        </is>
      </c>
      <c r="G175" s="2" t="inlineStr">
        <is>
          <t>Not published.</t>
        </is>
      </c>
      <c r="H175" s="2" t="inlineStr">
        <is>
          <t>negotiated</t>
        </is>
      </c>
      <c r="I175" s="2" t="inlineStr"/>
      <c r="J175" s="2" t="inlineStr"/>
      <c r="K175" s="2" t="inlineStr">
        <is>
          <t>включён: None; свой процессинг: None</t>
        </is>
      </c>
      <c r="L175" s="2" t="inlineStr"/>
      <c r="M175" s="2" t="inlineStr"/>
      <c r="N175" s="2" t="inlineStr"/>
      <c r="O175" s="2" t="inlineStr"/>
      <c r="P175" s="2" t="inlineStr"/>
      <c r="Q175" s="2" t="inlineStr"/>
      <c r="R175" s="2" t="inlineStr">
        <is>
          <t>• organiser pages describe services only; no fee data</t>
        </is>
      </c>
      <c r="S175" s="2" t="inlineStr"/>
      <c r="T175" s="2" t="inlineStr">
        <is>
          <t>contact sales</t>
        </is>
      </c>
      <c r="U175" s="2" t="inlineStr">
        <is>
          <t>Qatar, UAE, Bahrain, Oman, India, KSA ticketing plus event organising and permits</t>
        </is>
      </c>
      <c r="V175" s="2" t="inlineStr">
        <is>
          <t>page</t>
        </is>
      </c>
      <c r="W175" s="2" t="inlineStr">
        <is>
          <t>https://events.q-tickets.com/qatar/services/eventorganizingmanaging (services page)</t>
        </is>
      </c>
    </row>
    <row r="176">
      <c r="A176" s="2" t="inlineStr">
        <is>
          <t>Азия, Океания, Ближний Восток</t>
        </is>
      </c>
      <c r="B176" s="22" t="inlineStr">
        <is>
          <t>Accupass</t>
        </is>
      </c>
      <c r="C176" s="2" t="inlineStr">
        <is>
          <t>https://www.accupass.com</t>
        </is>
      </c>
      <c r="D176" s="2" t="inlineStr">
        <is>
          <t>Taiwan</t>
        </is>
      </c>
      <c r="E176" s="2" t="inlineStr">
        <is>
          <t>TWD</t>
        </is>
      </c>
      <c r="F176" s="2" t="inlineStr">
        <is>
          <t>собирает на себя</t>
        </is>
      </c>
      <c r="G176" s="2" t="inlineStr">
        <is>
          <t>Pays organiser after the event ends (settlement application process); paying banks charge about NT$15 for cross-bank transfers.</t>
        </is>
      </c>
      <c r="H176" s="2" t="inlineStr">
        <is>
          <t>percent_plus_fixed</t>
        </is>
      </c>
      <c r="I176" s="2" t="inlineStr">
        <is>
          <t>• Paid tickets: 5.0% +10 — unlimited listings; fee only when tickets sell — 5% + NT$10 per ticket; e.g. NT$100 ticket costs NT$15
• Ticket-count upgrade:  — applies per event above 400 tickets, free or paid — NT$799 for 401-3,000 tickets; NT$1,000 for 3,001-10,000</t>
        </is>
      </c>
      <c r="J176" s="2" t="inlineStr"/>
      <c r="K176" s="2" t="inlineStr">
        <is>
          <t>включён: True; свой процессинг: False; payment-flow fee is the 5% + NT$10</t>
        </is>
      </c>
      <c r="L176" s="2" t="inlineStr">
        <is>
          <t>organiser</t>
        </is>
      </c>
      <c r="M176" s="2" t="inlineStr">
        <is>
          <t>free events up to 400 tickets completely free; above 400 an upgrade fee</t>
        </is>
      </c>
      <c r="N176" s="2" t="inlineStr">
        <is>
          <t>not stated</t>
        </is>
      </c>
      <c r="O176" s="2" t="inlineStr">
        <is>
          <t>after event, settlement application</t>
        </is>
      </c>
      <c r="P176" s="2" t="inlineStr"/>
      <c r="Q176" s="2" t="inlineStr">
        <is>
          <t>Accupass issues an invoice for the payment-flow fee on payout day</t>
        </is>
      </c>
      <c r="R176" s="2" t="inlineStr">
        <is>
          <t>• all paid events go through a review/approval before listing
• an older campaign page showed 0% + NT$10 per ticket for events up to 400 tickets (promo snippet) - not current</t>
        </is>
      </c>
      <c r="S176" s="2" t="inlineStr">
        <is>
          <t>• {"name": "invoice issuing service, ads, self check-in kiosks", "price": "see separate pages"}</t>
        </is>
      </c>
      <c r="T176" s="2" t="inlineStr">
        <is>
          <t>advanced services page</t>
        </is>
      </c>
      <c r="U176" s="2" t="inlineStr">
        <is>
          <t>Taiwanese events, classes, seminars; free self-serve listing, paid events need review</t>
        </is>
      </c>
      <c r="V176" s="2" t="inlineStr">
        <is>
          <t>page</t>
        </is>
      </c>
      <c r="W176" s="2" t="inlineStr">
        <is>
          <t>https://accupass.uservoice.com/knowledgebase/articles/1120435-%E4%B8%BB%E8%BE%A6%E6%B4%BB%E5%8B%95%E8%B2%BB%E7%94%A8%E7%82%BA%E4%BD%95 (help article on organiser fees (Chinese))</t>
        </is>
      </c>
    </row>
    <row r="177">
      <c r="A177" s="2" t="inlineStr">
        <is>
          <t>Азия, Океания, Ближний Восток</t>
        </is>
      </c>
      <c r="B177" s="22" t="inlineStr">
        <is>
          <t>Onoffmix</t>
        </is>
      </c>
      <c r="C177" s="2" t="inlineStr">
        <is>
          <t>https://onoffmix.com</t>
        </is>
      </c>
      <c r="D177" s="2" t="inlineStr">
        <is>
          <t>South Korea</t>
        </is>
      </c>
      <c r="E177" s="2" t="inlineStr">
        <is>
          <t>KRW</t>
        </is>
      </c>
      <c r="F177" s="2" t="inlineStr">
        <is>
          <t>собирает на себя</t>
        </is>
      </c>
      <c r="G177" s="2" t="inlineStr">
        <is>
          <t>Organiser bears the fee of the payment method buyers chose; deducted at settlement.</t>
        </is>
      </c>
      <c r="H177" s="2" t="inlineStr">
        <is>
          <t>percent</t>
        </is>
      </c>
      <c r="I177" s="2" t="inlineStr">
        <is>
          <t>• Credit card (domestic): 5.5% — from payment/settlement rules effective 2019-01-01
• Real-time bank transfer: 3.5%
• Virtual account (bank deposit): 2.5% +300 — 2.5% + KRW 300 per payment</t>
        </is>
      </c>
      <c r="J177" s="2" t="inlineStr"/>
      <c r="K177" s="2" t="inlineStr">
        <is>
          <t>включён: True; свой процессинг: False; fee covers processing</t>
        </is>
      </c>
      <c r="L177" s="2" t="inlineStr">
        <is>
          <t>organiser</t>
        </is>
      </c>
      <c r="M177" s="2" t="inlineStr">
        <is>
          <t>free events not charged (not explicitly confirmed)</t>
        </is>
      </c>
      <c r="N177" s="2" t="inlineStr"/>
      <c r="O177" s="2" t="inlineStr">
        <is>
          <t>settlement process in FAQ, not read</t>
        </is>
      </c>
      <c r="P177" s="2" t="inlineStr">
        <is>
          <t>cancellation fee plus refund-handling fee charged to the applicant</t>
        </is>
      </c>
      <c r="Q177" s="2" t="inlineStr"/>
      <c r="R177" s="2" t="inlineStr">
        <is>
          <t>• three more rates in the rules table (9%, 3.5%, 6.5%) whose payment-method labels were lost in the scrape; likely mobile-phone and overseas-card methods</t>
        </is>
      </c>
      <c r="S177" s="2" t="inlineStr"/>
      <c r="T177" s="2" t="inlineStr">
        <is>
          <t>Onoffmix Connect for vendors; ads sold separately</t>
        </is>
      </c>
      <c r="U177" s="2" t="inlineStr">
        <is>
          <t>Korean meetups, seminars, classes; fee depends on payment method</t>
        </is>
      </c>
      <c r="V177" s="2" t="inlineStr">
        <is>
          <t>snippet</t>
        </is>
      </c>
      <c r="W177" s="2" t="inlineStr">
        <is>
          <t>https://corp.onoffmix.com/d0ed122e-a277-4e4e-bffb-cb6d4e4fbeda (payment/settlement rules (Korean); only first 3 rows labelled via search snippet)</t>
        </is>
      </c>
    </row>
  </sheetData>
  <autoFilter ref="A1:W17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8" customWidth="1" min="3" max="3"/>
    <col width="30" customWidth="1" min="4" max="4"/>
    <col width="26" customWidth="1" min="5" max="5"/>
    <col width="20" customWidth="1" min="6" max="6"/>
    <col width="26" customWidth="1" min="7" max="7"/>
    <col width="16" customWidth="1" min="8" max="8"/>
    <col width="14" customWidth="1" min="9" max="9"/>
    <col width="14" customWidth="1" min="10" max="10"/>
    <col width="18" customWidth="1" min="11" max="11"/>
    <col width="12" customWidth="1" min="12" max="12"/>
    <col width="30" customWidth="1" min="13" max="13"/>
    <col width="40" customWidth="1" min="14" max="14"/>
    <col width="10" customWidth="1" min="15" max="15"/>
    <col width="50" customWidth="1" min="16" max="16"/>
  </cols>
  <sheetData>
    <row r="1">
      <c r="A1" s="7" t="inlineStr">
        <is>
          <t>Провайдер</t>
        </is>
      </c>
      <c r="B1" s="7" t="inlineStr">
        <is>
          <t>Страна</t>
        </is>
      </c>
      <c r="C1" s="7" t="inlineStr">
        <is>
          <t>Валюта</t>
        </is>
      </c>
      <c r="D1" s="7" t="inlineStr">
        <is>
          <t>Внутренние карты</t>
        </is>
      </c>
      <c r="E1" s="7" t="inlineStr">
        <is>
          <t>Карты ЕЭЗ</t>
        </is>
      </c>
      <c r="F1" s="7" t="inlineStr">
        <is>
          <t>Карты UK</t>
        </is>
      </c>
      <c r="G1" s="7" t="inlineStr">
        <is>
          <t>Международные карты</t>
        </is>
      </c>
      <c r="H1" s="7" t="inlineStr">
        <is>
          <t>Конвертация</t>
        </is>
      </c>
      <c r="I1" s="7" t="inlineStr">
        <is>
          <t>Спор (чарджбэк)</t>
        </is>
      </c>
      <c r="J1" s="7" t="inlineStr">
        <is>
          <t>Выплата</t>
        </is>
      </c>
      <c r="K1" s="7" t="inlineStr">
        <is>
          <t>Абонентка</t>
        </is>
      </c>
      <c r="L1" s="7" t="inlineStr">
        <is>
          <t>Подключение</t>
        </is>
      </c>
      <c r="M1" s="7" t="inlineStr">
        <is>
          <t>Местные методы</t>
        </is>
      </c>
      <c r="N1" s="7" t="inlineStr">
        <is>
          <t>Примечание</t>
        </is>
      </c>
      <c r="O1" s="7" t="inlineStr">
        <is>
          <t>Уверенность</t>
        </is>
      </c>
      <c r="P1" s="7" t="inlineStr">
        <is>
          <t>Источники</t>
        </is>
      </c>
    </row>
    <row r="2">
      <c r="A2" s="2" t="inlineStr">
        <is>
          <t>Stripe</t>
        </is>
      </c>
      <c r="B2" s="2" t="inlineStr">
        <is>
          <t>ES</t>
        </is>
      </c>
      <c r="C2" s="2" t="inlineStr">
        <is>
          <t>EUR</t>
        </is>
      </c>
      <c r="D2" s="2" t="inlineStr">
        <is>
          <t>1.5% + €0.25 (standard EEA); premium EEA 2.8% + €0.25</t>
        </is>
      </c>
      <c r="E2" s="2" t="inlineStr">
        <is>
          <t>1.5% + €0.25 standard / 2.8% + €0.25 premium</t>
        </is>
      </c>
      <c r="F2" s="2" t="inlineStr">
        <is>
          <t>2.5% + €0.25</t>
        </is>
      </c>
      <c r="G2" s="2" t="inlineStr">
        <is>
          <t>3.15% + €0.25</t>
        </is>
      </c>
      <c r="H2" s="2" t="inlineStr">
        <is>
          <t>+2% when currency conversion required</t>
        </is>
      </c>
      <c r="I2" s="2" t="inlineStr">
        <is>
          <t>€20 per dispute received; €20 to counter (refunded only if won); Smart Disputes 30% of amount recovered</t>
        </is>
      </c>
      <c r="J2" s="2" t="inlineStr">
        <is>
          <t>standard payouts free; instant payouts 1% min €0.50; multi-currency payouts 1% or a minimum fee</t>
        </is>
      </c>
      <c r="K2" s="2" t="inlineStr"/>
      <c r="L2" s="2" t="inlineStr"/>
      <c r="M2" s="2" t="inlineStr">
        <is>
          <t>• {"name": "Bizum", "rate": "1.5% + €0.25"}
• {"name": "Bancontact", "rate": "1.4% + €0.25"}
• {"name": "iDEAL | Wero", "rate": "€0.29"}
• {"name": "Multibanco", "rate": "2.95% + €0.25"}
• {"name": "MB WAY", "rate": "1.5% + €0.25 (+1.5% international)"}
• {"name": "BLIK", "rate": "1.6% + €0.25"}
• {"name": "Przelewy24", "rate": "2.2% + €0.25"}
• {"name": "TWINT", "rate": "2.6% + €0.25"}
• {"name": "EPS", "rate": "1.6% + €0.25"}
• {"name": "Revolut Pay", "rate": "1.5% + €0.25"}
• {"name": "SEPA Direct Debit", "rate": "€0.35"}
• {"name": "Klarna", "rate": "from 4.99% + €0.40"}</t>
        </is>
      </c>
      <c r="N2" s="2" t="inlineStr">
        <is>
          <t>Standard (non-custom) pricing; no monthly or setup fee. Link wallet same as cards. Refunds: processing fees not returned. Stripe not available in Israel, Georgia, Ukraine, Kazakhstan (not in stripe.com/global list).</t>
        </is>
      </c>
      <c r="O2" s="2" t="inlineStr">
        <is>
          <t>page</t>
        </is>
      </c>
      <c r="P2" s="2" t="inlineStr">
        <is>
          <t>https://stripe.com/es/pricing
https://stripe.com/es/pricing/local-payment-methods
https://stripe.com/global</t>
        </is>
      </c>
    </row>
    <row r="3">
      <c r="A3" s="2" t="inlineStr">
        <is>
          <t>Stripe</t>
        </is>
      </c>
      <c r="B3" s="2" t="inlineStr">
        <is>
          <t>CZ</t>
        </is>
      </c>
      <c r="C3" s="2" t="inlineStr">
        <is>
          <t>CZK</t>
        </is>
      </c>
      <c r="D3" s="2" t="inlineStr">
        <is>
          <t>1.5% + 6.50Kč standard EEA; premium EEA 2.8% + 6.50Kč</t>
        </is>
      </c>
      <c r="E3" s="2" t="inlineStr">
        <is>
          <t>1.5% + 6.50Kč / 2.8% + 6.50Kč</t>
        </is>
      </c>
      <c r="F3" s="2" t="inlineStr">
        <is>
          <t>2.5% + 6.50Kč</t>
        </is>
      </c>
      <c r="G3" s="2" t="inlineStr">
        <is>
          <t>3.15% + 6.50Kč</t>
        </is>
      </c>
      <c r="H3" s="2" t="inlineStr">
        <is>
          <t>+2%</t>
        </is>
      </c>
      <c r="I3" s="2" t="inlineStr">
        <is>
          <t>550Kč per dispute; countering 550Kč refunded only if won; Smart Disputes 30%</t>
        </is>
      </c>
      <c r="J3" s="2" t="inlineStr">
        <is>
          <t>standard free; instant 1% min 10Kč; multi-currency 1% or minimum</t>
        </is>
      </c>
      <c r="K3" s="2" t="inlineStr"/>
      <c r="L3" s="2" t="inlineStr"/>
      <c r="M3" s="2" t="inlineStr">
        <is>
          <t>• {"name": "SEPA Direct Debit", "rate": "9.00Kč"}</t>
        </is>
      </c>
      <c r="N3" s="2" t="inlineStr">
        <is>
          <t>Page fetched in English; other CZ local methods on a separate page not read.</t>
        </is>
      </c>
      <c r="O3" s="2" t="inlineStr">
        <is>
          <t>page</t>
        </is>
      </c>
      <c r="P3" s="2" t="inlineStr">
        <is>
          <t>https://stripe.com/cz/pricing</t>
        </is>
      </c>
    </row>
    <row r="4">
      <c r="A4" s="2" t="inlineStr">
        <is>
          <t>Stripe</t>
        </is>
      </c>
      <c r="B4" s="2" t="inlineStr">
        <is>
          <t>DE</t>
        </is>
      </c>
      <c r="C4" s="2" t="inlineStr">
        <is>
          <t>EUR</t>
        </is>
      </c>
      <c r="D4" s="2" t="inlineStr">
        <is>
          <t>1.5% + €0.25 standard EEA; premium 2.8% + €0.25</t>
        </is>
      </c>
      <c r="E4" s="2" t="inlineStr">
        <is>
          <t>1.5% + €0.25 / 2.8% + €0.25</t>
        </is>
      </c>
      <c r="F4" s="2" t="inlineStr">
        <is>
          <t>2.5% + €0.25</t>
        </is>
      </c>
      <c r="G4" s="2" t="inlineStr">
        <is>
          <t>3.15% + €0.25</t>
        </is>
      </c>
      <c r="H4" s="2" t="inlineStr">
        <is>
          <t>+2%</t>
        </is>
      </c>
      <c r="I4" s="2" t="inlineStr">
        <is>
          <t>€20; countering €20 (refunded if won); Smart Disputes 30%; Visa RDR/CE3.0 prevention €20, Mastercard €40</t>
        </is>
      </c>
      <c r="J4" s="2" t="inlineStr">
        <is>
          <t>standard free; instant 1% min €0.50</t>
        </is>
      </c>
      <c r="K4" s="2" t="inlineStr"/>
      <c r="L4" s="2" t="inlineStr"/>
      <c r="M4" s="2" t="inlineStr">
        <is>
          <t>• {"name": "SEPA Direct Debit", "rate": "€0.35"}
• {"name": "Klarna", "rate": "from 2.99% + €0.35"}</t>
        </is>
      </c>
      <c r="N4" s="2" t="inlineStr">
        <is>
          <t>Other local methods (Giropay/SOFORT etc.) not listed on the main page.</t>
        </is>
      </c>
      <c r="O4" s="2" t="inlineStr">
        <is>
          <t>page</t>
        </is>
      </c>
      <c r="P4" s="2" t="inlineStr">
        <is>
          <t>https://stripe.com/de/pricing</t>
        </is>
      </c>
    </row>
    <row r="5">
      <c r="A5" s="2" t="inlineStr">
        <is>
          <t>Stripe</t>
        </is>
      </c>
      <c r="B5" s="2" t="inlineStr">
        <is>
          <t>FR</t>
        </is>
      </c>
      <c r="C5" s="2" t="inlineStr">
        <is>
          <t>EUR</t>
        </is>
      </c>
      <c r="D5" s="2" t="inlineStr">
        <is>
          <t>1.5% + €0.25 standard EEA; premium 2.8% + €0.25</t>
        </is>
      </c>
      <c r="E5" s="2" t="inlineStr">
        <is>
          <t>1.5% + €0.25 / 2.8% + €0.25</t>
        </is>
      </c>
      <c r="F5" s="2" t="inlineStr">
        <is>
          <t>2.5% + €0.25</t>
        </is>
      </c>
      <c r="G5" s="2" t="inlineStr">
        <is>
          <t>3.15% + €0.25</t>
        </is>
      </c>
      <c r="H5" s="2" t="inlineStr">
        <is>
          <t>+2%</t>
        </is>
      </c>
      <c r="I5" s="2" t="inlineStr">
        <is>
          <t>€20; countering €20 (refunded if won); Smart Disputes 30%</t>
        </is>
      </c>
      <c r="J5" s="2" t="inlineStr">
        <is>
          <t>standard free; instant 1% min €0.50</t>
        </is>
      </c>
      <c r="K5" s="2" t="inlineStr"/>
      <c r="L5" s="2" t="inlineStr"/>
      <c r="M5" s="2" t="inlineStr">
        <is>
          <t>• {"name": "SEPA Direct Debit", "rate": "€0.35"}
• {"name": "Klarna", "rate": "from 4.99% + €0.40"}</t>
        </is>
      </c>
      <c r="N5" s="2" t="inlineStr"/>
      <c r="O5" s="2" t="inlineStr">
        <is>
          <t>page</t>
        </is>
      </c>
      <c r="P5" s="2" t="inlineStr">
        <is>
          <t>https://stripe.com/fr/pricing</t>
        </is>
      </c>
    </row>
    <row r="6">
      <c r="A6" s="2" t="inlineStr">
        <is>
          <t>Stripe</t>
        </is>
      </c>
      <c r="B6" s="2" t="inlineStr">
        <is>
          <t>IT</t>
        </is>
      </c>
      <c r="C6" s="2" t="inlineStr">
        <is>
          <t>EUR</t>
        </is>
      </c>
      <c r="D6" s="2" t="inlineStr">
        <is>
          <t>1.5% + €0.25 standard EEA; premium 2.8% + €0.25</t>
        </is>
      </c>
      <c r="E6" s="2" t="inlineStr">
        <is>
          <t>1.5% + €0.25 / 2.8% + €0.25</t>
        </is>
      </c>
      <c r="F6" s="2" t="inlineStr">
        <is>
          <t>2.5% + €0.25</t>
        </is>
      </c>
      <c r="G6" s="2" t="inlineStr">
        <is>
          <t>3.15% + €0.25</t>
        </is>
      </c>
      <c r="H6" s="2" t="inlineStr">
        <is>
          <t>+2%</t>
        </is>
      </c>
      <c r="I6" s="2" t="inlineStr">
        <is>
          <t>€20; countering €20 (refunded if won); Smart Disputes 30%</t>
        </is>
      </c>
      <c r="J6" s="2" t="inlineStr">
        <is>
          <t>standard free; instant 1% min €0.50</t>
        </is>
      </c>
      <c r="K6" s="2" t="inlineStr"/>
      <c r="L6" s="2" t="inlineStr"/>
      <c r="M6" s="2" t="inlineStr">
        <is>
          <t>• {"name": "SEPA Direct Debit", "rate": "€0.35"}
• {"name": "Klarna", "rate": "from 4.99% + €0.40"}</t>
        </is>
      </c>
      <c r="N6" s="2" t="inlineStr"/>
      <c r="O6" s="2" t="inlineStr">
        <is>
          <t>page</t>
        </is>
      </c>
      <c r="P6" s="2" t="inlineStr">
        <is>
          <t>https://stripe.com/it/pricing</t>
        </is>
      </c>
    </row>
    <row r="7">
      <c r="A7" s="2" t="inlineStr">
        <is>
          <t>Stripe</t>
        </is>
      </c>
      <c r="B7" s="2" t="inlineStr">
        <is>
          <t>PT</t>
        </is>
      </c>
      <c r="C7" s="2" t="inlineStr">
        <is>
          <t>EUR</t>
        </is>
      </c>
      <c r="D7" s="2" t="inlineStr">
        <is>
          <t>1.5% + €0.25 standard EEA; premium 2.8% + €0.25</t>
        </is>
      </c>
      <c r="E7" s="2" t="inlineStr">
        <is>
          <t>1.5% + €0.25 / 2.8% + €0.25</t>
        </is>
      </c>
      <c r="F7" s="2" t="inlineStr">
        <is>
          <t>2.5% + €0.25</t>
        </is>
      </c>
      <c r="G7" s="2" t="inlineStr">
        <is>
          <t>3.15% + €0.25</t>
        </is>
      </c>
      <c r="H7" s="2" t="inlineStr">
        <is>
          <t>+2%</t>
        </is>
      </c>
      <c r="I7" s="2" t="inlineStr">
        <is>
          <t>€20; countering €20 (refunded if won); Smart Disputes 30%</t>
        </is>
      </c>
      <c r="J7" s="2" t="inlineStr">
        <is>
          <t>standard free; instant 1% min €0.50</t>
        </is>
      </c>
      <c r="K7" s="2" t="inlineStr"/>
      <c r="L7" s="2" t="inlineStr"/>
      <c r="M7" s="2" t="inlineStr">
        <is>
          <t>• {"name": "MB WAY", "rate": "1.5% + €0.25"}
• {"name": "Multibanco", "rate": "2.95% + €0.25 (from the Spain local-methods page; not listed on PT main page)"}</t>
        </is>
      </c>
      <c r="N7" s="2" t="inlineStr"/>
      <c r="O7" s="2" t="inlineStr">
        <is>
          <t>page</t>
        </is>
      </c>
      <c r="P7" s="2" t="inlineStr">
        <is>
          <t>https://stripe.com/pt/pricing
https://stripe.com/es/pricing/local-payment-methods</t>
        </is>
      </c>
    </row>
    <row r="8">
      <c r="A8" s="2" t="inlineStr">
        <is>
          <t>Stripe</t>
        </is>
      </c>
      <c r="B8" s="2" t="inlineStr">
        <is>
          <t>NL</t>
        </is>
      </c>
      <c r="C8" s="2" t="inlineStr">
        <is>
          <t>EUR</t>
        </is>
      </c>
      <c r="D8" s="2" t="inlineStr">
        <is>
          <t>1.5% + €0.25 standard EEA; premium 2.8% + €0.25</t>
        </is>
      </c>
      <c r="E8" s="2" t="inlineStr">
        <is>
          <t>1.5% + €0.25 / 2.8% + €0.25</t>
        </is>
      </c>
      <c r="F8" s="2" t="inlineStr">
        <is>
          <t>2.5% + €0.25</t>
        </is>
      </c>
      <c r="G8" s="2" t="inlineStr">
        <is>
          <t>3.15% + €0.25</t>
        </is>
      </c>
      <c r="H8" s="2" t="inlineStr">
        <is>
          <t>+2%</t>
        </is>
      </c>
      <c r="I8" s="2" t="inlineStr">
        <is>
          <t>€20; countering €20 (refunded if won); Smart Disputes 30%</t>
        </is>
      </c>
      <c r="J8" s="2" t="inlineStr">
        <is>
          <t>standard free; instant 1% min €0.50</t>
        </is>
      </c>
      <c r="K8" s="2" t="inlineStr"/>
      <c r="L8" s="2" t="inlineStr"/>
      <c r="M8" s="2" t="inlineStr">
        <is>
          <t>• {"name": "iDEAL", "rate": "€0.29"}
• {"name": "Klarna", "rate": "from 2.99% + €0.35"}</t>
        </is>
      </c>
      <c r="N8" s="2" t="inlineStr">
        <is>
          <t>Refund fees apply only to bank-transfer refunds.</t>
        </is>
      </c>
      <c r="O8" s="2" t="inlineStr">
        <is>
          <t>page</t>
        </is>
      </c>
      <c r="P8" s="2" t="inlineStr">
        <is>
          <t>https://stripe.com/nl/pricing</t>
        </is>
      </c>
    </row>
    <row r="9">
      <c r="A9" s="2" t="inlineStr">
        <is>
          <t>Stripe</t>
        </is>
      </c>
      <c r="B9" s="2" t="inlineStr">
        <is>
          <t>PL</t>
        </is>
      </c>
      <c r="C9" s="2" t="inlineStr">
        <is>
          <t>PLN</t>
        </is>
      </c>
      <c r="D9" s="2" t="inlineStr">
        <is>
          <t>1.5% + 1.00zł standard EEA; premium EEA 1.9% + 1.00zł</t>
        </is>
      </c>
      <c r="E9" s="2" t="inlineStr">
        <is>
          <t>1.5% + 1.00zł / 1.9% + 1.00zł</t>
        </is>
      </c>
      <c r="F9" s="2" t="inlineStr">
        <is>
          <t>2.5% + 1.00zł</t>
        </is>
      </c>
      <c r="G9" s="2" t="inlineStr">
        <is>
          <t>3.25% + 1.00zł</t>
        </is>
      </c>
      <c r="H9" s="2" t="inlineStr">
        <is>
          <t>+2%</t>
        </is>
      </c>
      <c r="I9" s="2" t="inlineStr">
        <is>
          <t>90zł per dispute; countering 90zł refunded only if won; Smart Disputes 30%</t>
        </is>
      </c>
      <c r="J9" s="2" t="inlineStr">
        <is>
          <t>standard free; instant 1% min 2zł; multi-currency 1% or minimum</t>
        </is>
      </c>
      <c r="K9" s="2" t="inlineStr"/>
      <c r="L9" s="2" t="inlineStr"/>
      <c r="M9" s="2" t="inlineStr">
        <is>
          <t>• {"name": "BLIK", "rate": "1.6% + 1.00zł"}
• {"name": "Przelewy24", "rate": "1.9% + 1.00zł"}</t>
        </is>
      </c>
      <c r="N9" s="2" t="inlineStr"/>
      <c r="O9" s="2" t="inlineStr">
        <is>
          <t>page</t>
        </is>
      </c>
      <c r="P9" s="2" t="inlineStr">
        <is>
          <t>https://stripe.com/pl/pricing</t>
        </is>
      </c>
    </row>
    <row r="10">
      <c r="A10" s="2" t="inlineStr">
        <is>
          <t>Stripe</t>
        </is>
      </c>
      <c r="B10" s="2" t="inlineStr">
        <is>
          <t>GB</t>
        </is>
      </c>
      <c r="C10" s="2" t="inlineStr">
        <is>
          <t>GBP</t>
        </is>
      </c>
      <c r="D10" s="2" t="inlineStr">
        <is>
          <t>1.5% + 20p standard UK cards; premium UK 2.8% + 20p</t>
        </is>
      </c>
      <c r="E10" s="2" t="inlineStr">
        <is>
          <t>2.5% + 20p</t>
        </is>
      </c>
      <c r="F10" s="2" t="inlineStr">
        <is>
          <t>1.5% + 20p / 2.8% + 20p (domestic)</t>
        </is>
      </c>
      <c r="G10" s="2" t="inlineStr">
        <is>
          <t>3.15% + 20p</t>
        </is>
      </c>
      <c r="H10" s="2" t="inlineStr">
        <is>
          <t>+2%</t>
        </is>
      </c>
      <c r="I10" s="2" t="inlineStr">
        <is>
          <t>£20; countering £20 (refunded if won); Smart Disputes 30%</t>
        </is>
      </c>
      <c r="J10" s="2" t="inlineStr">
        <is>
          <t>standard free; instant 1% min 40p</t>
        </is>
      </c>
      <c r="K10" s="2" t="inlineStr"/>
      <c r="L10" s="2" t="inlineStr"/>
      <c r="M10" s="2" t="inlineStr">
        <is>
          <t>• {"name": "Bacs Direct Debit", "rate": "1% min 20p, cap £4"}
• {"name": "Klarna", "rate": "from 4.99% + 35p"}</t>
        </is>
      </c>
      <c r="N10" s="2" t="inlineStr">
        <is>
          <t>Open Banking rate not listed on main page.</t>
        </is>
      </c>
      <c r="O10" s="2" t="inlineStr">
        <is>
          <t>page</t>
        </is>
      </c>
      <c r="P10" s="2" t="inlineStr">
        <is>
          <t>https://stripe.com/gb/pricing</t>
        </is>
      </c>
    </row>
    <row r="11">
      <c r="A11" s="2" t="inlineStr">
        <is>
          <t>Stripe</t>
        </is>
      </c>
      <c r="B11" s="2" t="inlineStr">
        <is>
          <t>IE</t>
        </is>
      </c>
      <c r="C11" s="2" t="inlineStr">
        <is>
          <t>EUR</t>
        </is>
      </c>
      <c r="D11" s="2" t="inlineStr">
        <is>
          <t>1.5% + €0.25 standard EEA; premium 2.8% + €0.25</t>
        </is>
      </c>
      <c r="E11" s="2" t="inlineStr">
        <is>
          <t>1.5% + €0.25 / 2.8% + €0.25</t>
        </is>
      </c>
      <c r="F11" s="2" t="inlineStr">
        <is>
          <t>2.5% + €0.25</t>
        </is>
      </c>
      <c r="G11" s="2" t="inlineStr">
        <is>
          <t>3.15% + €0.25</t>
        </is>
      </c>
      <c r="H11" s="2" t="inlineStr">
        <is>
          <t>+2%</t>
        </is>
      </c>
      <c r="I11" s="2" t="inlineStr">
        <is>
          <t>€20; countering €20 (refunded if won); Smart Disputes 30%</t>
        </is>
      </c>
      <c r="J11" s="2" t="inlineStr">
        <is>
          <t>standard free; instant 1% min €0.50</t>
        </is>
      </c>
      <c r="K11" s="2" t="inlineStr"/>
      <c r="L11" s="2" t="inlineStr"/>
      <c r="M11" s="2" t="inlineStr">
        <is>
          <t>• {"name": "SEPA Direct Debit", "rate": "€0.35"}
• {"name": "Klarna", "rate": "from 4.99% + €0.40"}</t>
        </is>
      </c>
      <c r="N11" s="2" t="inlineStr"/>
      <c r="O11" s="2" t="inlineStr">
        <is>
          <t>page</t>
        </is>
      </c>
      <c r="P11" s="2" t="inlineStr">
        <is>
          <t>https://stripe.com/ie/pricing</t>
        </is>
      </c>
    </row>
    <row r="12">
      <c r="A12" s="2" t="inlineStr">
        <is>
          <t>Stripe</t>
        </is>
      </c>
      <c r="B12" s="2" t="inlineStr">
        <is>
          <t>CH</t>
        </is>
      </c>
      <c r="C12" s="2" t="inlineStr">
        <is>
          <t>CHF</t>
        </is>
      </c>
      <c r="D12" s="2" t="inlineStr">
        <is>
          <t>2.9% + CHF 0.30 (Swiss cards)</t>
        </is>
      </c>
      <c r="E12" s="2" t="inlineStr"/>
      <c r="F12" s="2" t="inlineStr"/>
      <c r="G12" s="2" t="inlineStr">
        <is>
          <t>3.25% + CHF 0.30 (foreign cards)</t>
        </is>
      </c>
      <c r="H12" s="2" t="inlineStr">
        <is>
          <t>+2% on international cards when conversion required</t>
        </is>
      </c>
      <c r="I12" s="2" t="inlineStr">
        <is>
          <t>CHF 20; countering CHF 20 (refunded if won); Smart Disputes 30%; Visa deflection CHF 20, Mastercard CHF 40</t>
        </is>
      </c>
      <c r="J12" s="2" t="inlineStr">
        <is>
          <t>no general payout fee listed; multi-currency payouts 1% or minimum</t>
        </is>
      </c>
      <c r="K12" s="2" t="inlineStr"/>
      <c r="L12" s="2" t="inlineStr"/>
      <c r="M12" s="2" t="inlineStr">
        <is>
          <t>• {"name": "SEPA Direct Debit", "rate": "CHF 0.40"}
• {"name": "TWINT", "rate": "not shown on the CH page (EUR page lists 2.6% + €0.25)"}</t>
        </is>
      </c>
      <c r="N12" s="2" t="inlineStr">
        <is>
          <t>EEA/UK online card rates not listed separately on the CH page (only the in-person EEA rate 1.4% + CHF 0.10).</t>
        </is>
      </c>
      <c r="O12" s="2" t="inlineStr">
        <is>
          <t>page</t>
        </is>
      </c>
      <c r="P12" s="2" t="inlineStr">
        <is>
          <t>https://stripe.com/ch/pricing</t>
        </is>
      </c>
    </row>
    <row r="13">
      <c r="A13" s="2" t="inlineStr">
        <is>
          <t>Stripe</t>
        </is>
      </c>
      <c r="B13" s="2" t="inlineStr">
        <is>
          <t>IL</t>
        </is>
      </c>
      <c r="C13" s="2" t="n"/>
      <c r="D13" s="2" t="inlineStr"/>
      <c r="E13" s="2" t="inlineStr"/>
      <c r="F13" s="2" t="inlineStr"/>
      <c r="G13" s="2" t="inlineStr"/>
      <c r="H13" s="2" t="inlineStr"/>
      <c r="I13" s="2" t="inlineStr"/>
      <c r="J13" s="2" t="inlineStr"/>
      <c r="K13" s="2" t="inlineStr"/>
      <c r="L13" s="2" t="inlineStr"/>
      <c r="M13" s="2" t="inlineStr"/>
      <c r="N13" s="2" t="inlineStr">
        <is>
          <t>Stripe does not support Israel: Israel is absent from stripe.com/global's 51-country list and stripe.com/il/pricing returns 404. Israeli organizers use AllPay, Grow, Tranzila, Cardcom or PayPal.</t>
        </is>
      </c>
      <c r="O13" s="2" t="inlineStr">
        <is>
          <t>page</t>
        </is>
      </c>
      <c r="P13" s="2" t="inlineStr">
        <is>
          <t>https://stripe.com/global
https://stripe.com/il/pricing</t>
        </is>
      </c>
    </row>
    <row r="14">
      <c r="A14" s="2" t="inlineStr">
        <is>
          <t>Stripe</t>
        </is>
      </c>
      <c r="B14" s="2" t="inlineStr">
        <is>
          <t>US</t>
        </is>
      </c>
      <c r="C14" s="2" t="inlineStr">
        <is>
          <t>USD</t>
        </is>
      </c>
      <c r="D14" s="2" t="inlineStr">
        <is>
          <t>2.9% + $0.30</t>
        </is>
      </c>
      <c r="E14" s="2" t="inlineStr"/>
      <c r="F14" s="2" t="inlineStr"/>
      <c r="G14" s="2" t="inlineStr">
        <is>
          <t>+1.5% on top of domestic rate</t>
        </is>
      </c>
      <c r="H14" s="2" t="inlineStr">
        <is>
          <t>+1% when conversion required</t>
        </is>
      </c>
      <c r="I14" s="2" t="inlineStr">
        <is>
          <t>$15; countering $15 (refunded if won)</t>
        </is>
      </c>
      <c r="J14" s="2" t="inlineStr">
        <is>
          <t>standard free; instant 1.5% min $0.50</t>
        </is>
      </c>
      <c r="K14" s="2" t="inlineStr"/>
      <c r="L14" s="2" t="inlineStr"/>
      <c r="M14" s="2" t="inlineStr">
        <is>
          <t>• {"name": "ACH Direct Debit", "rate": "0.8%, cap $5"}
• {"name": "Klarna", "rate": "5.99% + $0.30"}
• {"name": "PIX / UPI", "rate": "1.8% + $0.30"}
• {"name": "Instant bank payments", "rate": "2.6% + $0.30"}</t>
        </is>
      </c>
      <c r="N14" s="2" t="inlineStr">
        <is>
          <t>Manually entered cards +0.5%. Page read in Spanish variant (es-us), rates are the US standard.</t>
        </is>
      </c>
      <c r="O14" s="2" t="inlineStr">
        <is>
          <t>page</t>
        </is>
      </c>
      <c r="P14" s="2" t="inlineStr">
        <is>
          <t>https://stripe.com/us/pricing</t>
        </is>
      </c>
    </row>
    <row r="15">
      <c r="A15" s="2" t="inlineStr">
        <is>
          <t>Stripe</t>
        </is>
      </c>
      <c r="B15" s="2" t="inlineStr">
        <is>
          <t>CA</t>
        </is>
      </c>
      <c r="C15" s="2" t="inlineStr">
        <is>
          <t>CAD</t>
        </is>
      </c>
      <c r="D15" s="2" t="inlineStr">
        <is>
          <t>2.9% + CA$0.30</t>
        </is>
      </c>
      <c r="E15" s="2" t="inlineStr"/>
      <c r="F15" s="2" t="inlineStr"/>
      <c r="G15" s="2" t="inlineStr">
        <is>
          <t>+0.8% on top of domestic rate</t>
        </is>
      </c>
      <c r="H15" s="2" t="inlineStr">
        <is>
          <t>+2% when conversion required</t>
        </is>
      </c>
      <c r="I15" s="2" t="inlineStr">
        <is>
          <t>CA$15; countering CA$15 (refunded if won)</t>
        </is>
      </c>
      <c r="J15" s="2" t="inlineStr">
        <is>
          <t>standard free; instant 1% min CA$0.60</t>
        </is>
      </c>
      <c r="K15" s="2" t="inlineStr"/>
      <c r="L15" s="2" t="inlineStr"/>
      <c r="M15" s="2" t="inlineStr">
        <is>
          <t>• {"name": "Pre-authorised debits", "rate": "1% + CA$0.40, cap CA$5"}
• {"name": "Klarna", "rate": "from 5.99% + CA$0.30"}</t>
        </is>
      </c>
      <c r="N15" s="2" t="inlineStr">
        <is>
          <t>Manually entered cards +0.5%.</t>
        </is>
      </c>
      <c r="O15" s="2" t="inlineStr">
        <is>
          <t>page</t>
        </is>
      </c>
      <c r="P15" s="2" t="inlineStr">
        <is>
          <t>https://stripe.com/ca/pricing</t>
        </is>
      </c>
    </row>
    <row r="16">
      <c r="A16" s="2" t="inlineStr">
        <is>
          <t>Stripe</t>
        </is>
      </c>
      <c r="B16" s="2" t="inlineStr">
        <is>
          <t>MX</t>
        </is>
      </c>
      <c r="C16" s="2" t="inlineStr">
        <is>
          <t>MXN</t>
        </is>
      </c>
      <c r="D16" s="2" t="inlineStr">
        <is>
          <t>3.6% + MXN 3.00 (excl. IVA)</t>
        </is>
      </c>
      <c r="E16" s="2" t="inlineStr"/>
      <c r="F16" s="2" t="inlineStr"/>
      <c r="G16" s="2" t="inlineStr">
        <is>
          <t>+0.5% on top of base rate</t>
        </is>
      </c>
      <c r="H16" s="2" t="inlineStr">
        <is>
          <t>+2%</t>
        </is>
      </c>
      <c r="I16" s="2" t="inlineStr">
        <is>
          <t>MXN 150; Smart Disputes 30%; Mastercard resolution MXN 300</t>
        </is>
      </c>
      <c r="J16" s="2" t="inlineStr">
        <is>
          <t>none listed</t>
        </is>
      </c>
      <c r="K16" s="2" t="inlineStr"/>
      <c r="L16" s="2" t="inlineStr"/>
      <c r="M16" s="2" t="inlineStr">
        <is>
          <t>• {"name": "Bank/other methods (OXXO, SPEI not named)", "rate": "4% + MXN 3.00"}
• {"name": "Instalments (meses sin intereses)", "rate": "from 5% for 3 months"}</t>
        </is>
      </c>
      <c r="N16" s="2" t="inlineStr">
        <is>
          <t>All fees exclude IVA. Page text inconsistent on Terminal rate label.</t>
        </is>
      </c>
      <c r="O16" s="2" t="inlineStr">
        <is>
          <t>page</t>
        </is>
      </c>
      <c r="P16" s="2" t="inlineStr">
        <is>
          <t>https://stripe.com/mx/pricing</t>
        </is>
      </c>
    </row>
    <row r="17">
      <c r="A17" s="2" t="inlineStr">
        <is>
          <t>Stripe</t>
        </is>
      </c>
      <c r="B17" s="2" t="inlineStr">
        <is>
          <t>BR</t>
        </is>
      </c>
      <c r="C17" s="2" t="inlineStr">
        <is>
          <t>BRL</t>
        </is>
      </c>
      <c r="D17" s="2" t="inlineStr">
        <is>
          <t>3.99% + R$0.39</t>
        </is>
      </c>
      <c r="E17" s="2" t="inlineStr"/>
      <c r="F17" s="2" t="inlineStr"/>
      <c r="G17" s="2" t="inlineStr">
        <is>
          <t>+2% on top</t>
        </is>
      </c>
      <c r="H17" s="2" t="inlineStr">
        <is>
          <t>not separate; Adaptive Pricing customer fee from 2%</t>
        </is>
      </c>
      <c r="I17" s="2" t="inlineStr">
        <is>
          <t>R$55; countering R$55 (refunded if won); Mastercard resolution R$110</t>
        </is>
      </c>
      <c r="J17" s="2" t="inlineStr">
        <is>
          <t>none listed</t>
        </is>
      </c>
      <c r="K17" s="2" t="inlineStr"/>
      <c r="L17" s="2" t="inlineStr"/>
      <c r="M17" s="2" t="inlineStr">
        <is>
          <t>• {"name": "Pix", "rate": "1.19% (invitation only)"}
• {"name": "Boleto", "rate": "R$3.45 per paid boleto"}</t>
        </is>
      </c>
      <c r="N17" s="2" t="inlineStr">
        <is>
          <t>Pix on Stripe is invitation-only per the page.</t>
        </is>
      </c>
      <c r="O17" s="2" t="inlineStr">
        <is>
          <t>page</t>
        </is>
      </c>
      <c r="P17" s="2" t="inlineStr">
        <is>
          <t>https://stripe.com/br/pricing
https://stripe.com/br/pricing/local-payment-methods</t>
        </is>
      </c>
    </row>
    <row r="18">
      <c r="A18" s="2" t="inlineStr">
        <is>
          <t>Stripe</t>
        </is>
      </c>
      <c r="B18" s="2" t="inlineStr">
        <is>
          <t>AU</t>
        </is>
      </c>
      <c r="C18" s="2" t="inlineStr">
        <is>
          <t>AUD</t>
        </is>
      </c>
      <c r="D18" s="2" t="inlineStr">
        <is>
          <t>1.65% + A$0.30 (GST included)</t>
        </is>
      </c>
      <c r="E18" s="2" t="inlineStr"/>
      <c r="F18" s="2" t="inlineStr"/>
      <c r="G18" s="2" t="inlineStr">
        <is>
          <t>3.5% + A$0.30 (lower pricing from 1 Apr 2027)</t>
        </is>
      </c>
      <c r="H18" s="2" t="inlineStr">
        <is>
          <t>+2%</t>
        </is>
      </c>
      <c r="I18" s="2" t="inlineStr">
        <is>
          <t>A$25; countering A$25 (refunded if won); Mastercard resolution A$50</t>
        </is>
      </c>
      <c r="J18" s="2" t="inlineStr">
        <is>
          <t>standard free; instant 1.5% min A$0.50</t>
        </is>
      </c>
      <c r="K18" s="2" t="inlineStr"/>
      <c r="L18" s="2" t="inlineStr"/>
      <c r="M18" s="2" t="inlineStr">
        <is>
          <t>• {"name": "BECS Direct Debit / PayTo", "rate": "1% + A$0.30, cap A$3.50"}
• {"name": "Zip", "rate": "5.49% + A$0.30"}</t>
        </is>
      </c>
      <c r="N18" s="2" t="inlineStr">
        <is>
          <t>Card fees stated to include GST.</t>
        </is>
      </c>
      <c r="O18" s="2" t="inlineStr">
        <is>
          <t>page</t>
        </is>
      </c>
      <c r="P18" s="2" t="inlineStr">
        <is>
          <t>https://stripe.com/au/pricing</t>
        </is>
      </c>
    </row>
    <row r="19">
      <c r="A19" s="2" t="inlineStr">
        <is>
          <t>Stripe</t>
        </is>
      </c>
      <c r="B19" s="2" t="inlineStr">
        <is>
          <t>JP</t>
        </is>
      </c>
      <c r="C19" s="2" t="inlineStr">
        <is>
          <t>JPY</t>
        </is>
      </c>
      <c r="D19" s="2" t="inlineStr">
        <is>
          <t>3.6% (single card rate)</t>
        </is>
      </c>
      <c r="E19" s="2" t="inlineStr"/>
      <c r="F19" s="2" t="inlineStr"/>
      <c r="G19" s="2" t="inlineStr"/>
      <c r="H19" s="2" t="inlineStr">
        <is>
          <t>+2%</t>
        </is>
      </c>
      <c r="I19" s="2" t="inlineStr">
        <is>
          <t>¥1,500; Smart Disputes 30%; Mastercard resolution ¥3,000</t>
        </is>
      </c>
      <c r="J19" s="2" t="inlineStr">
        <is>
          <t>none listed</t>
        </is>
      </c>
      <c r="K19" s="2" t="inlineStr"/>
      <c r="L19" s="2" t="inlineStr"/>
      <c r="M19" s="2" t="inlineStr">
        <is>
          <t>• {"name": "Konbini", "rate": "3.6%, minimum ¥120"}
• {"name": "PayPay", "rate": "3.98% (9.48% digital content)"}
• {"name": "Bank transfer and other methods", "rate": "1.5%"}</t>
        </is>
      </c>
      <c r="N19" s="2" t="inlineStr">
        <is>
          <t>One card rate for all cards; page does not split domestic/international.</t>
        </is>
      </c>
      <c r="O19" s="2" t="inlineStr">
        <is>
          <t>page</t>
        </is>
      </c>
      <c r="P19" s="2" t="inlineStr">
        <is>
          <t>https://stripe.com/jp/pricing</t>
        </is>
      </c>
    </row>
    <row r="20">
      <c r="A20" s="2" t="inlineStr">
        <is>
          <t>Stripe</t>
        </is>
      </c>
      <c r="B20" s="2" t="inlineStr">
        <is>
          <t>SG</t>
        </is>
      </c>
      <c r="C20" s="2" t="inlineStr">
        <is>
          <t>SGD</t>
        </is>
      </c>
      <c r="D20" s="2" t="inlineStr">
        <is>
          <t>3.4% + $0.50 (presumed SGD)</t>
        </is>
      </c>
      <c r="E20" s="2" t="inlineStr"/>
      <c r="F20" s="2" t="inlineStr"/>
      <c r="G20" s="2" t="inlineStr">
        <is>
          <t>+0.5% on top</t>
        </is>
      </c>
      <c r="H20" s="2" t="inlineStr">
        <is>
          <t>+2%</t>
        </is>
      </c>
      <c r="I20" s="2" t="inlineStr">
        <is>
          <t>$15; countering $15 (refunded if won)</t>
        </is>
      </c>
      <c r="J20" s="2" t="inlineStr">
        <is>
          <t>USD payouts 1% min US$5; instant 1% min $0.50</t>
        </is>
      </c>
      <c r="K20" s="2" t="inlineStr"/>
      <c r="L20" s="2" t="inlineStr"/>
      <c r="M20" s="2" t="inlineStr">
        <is>
          <t>• {"name": "PayNow", "rate": "1.3%"}
• {"name": "GrabPay", "rate": "3.3%"}
• {"name": "Alipay / WeChat Pay", "rate": "2.2% + $0.35"}</t>
        </is>
      </c>
      <c r="N20" s="2" t="inlineStr">
        <is>
          <t>Currency symbol not named on page; GST treatment not stated.</t>
        </is>
      </c>
      <c r="O20" s="2" t="inlineStr">
        <is>
          <t>page</t>
        </is>
      </c>
      <c r="P20" s="2" t="inlineStr">
        <is>
          <t>https://stripe.com/sg/pricing</t>
        </is>
      </c>
    </row>
    <row r="21">
      <c r="A21" s="2" t="inlineStr">
        <is>
          <t>Stripe</t>
        </is>
      </c>
      <c r="B21" s="2" t="inlineStr">
        <is>
          <t>IN</t>
        </is>
      </c>
      <c r="C21" s="2" t="inlineStr">
        <is>
          <t>INR</t>
        </is>
      </c>
      <c r="D21" s="2" t="inlineStr">
        <is>
          <t>2% (domestic debit MDR 0.4% capped ₹200)</t>
        </is>
      </c>
      <c r="E21" s="2" t="inlineStr"/>
      <c r="F21" s="2" t="inlineStr"/>
      <c r="G21" s="2" t="inlineStr">
        <is>
          <t>3% (Amex 3.5%; USD/other presentment 4.3%)</t>
        </is>
      </c>
      <c r="H21" s="2" t="inlineStr">
        <is>
          <t>+2% when conversion required</t>
        </is>
      </c>
      <c r="I21" s="2" t="inlineStr">
        <is>
          <t>₹1,000; countering ₹1,000 (refunded if won); Mastercard resolution ₹2,000</t>
        </is>
      </c>
      <c r="J21" s="2" t="inlineStr">
        <is>
          <t>not listed</t>
        </is>
      </c>
      <c r="K21" s="2" t="inlineStr"/>
      <c r="L21" s="2" t="inlineStr"/>
      <c r="M21" s="2" t="inlineStr">
        <is>
          <t>• {"name": "UPI / netbanking", "rate": "not on main page (separate local-methods page not read)"}</t>
        </is>
      </c>
      <c r="N21" s="2" t="inlineStr">
        <is>
          <t>GST rate not stated on page. India availability on stripe.com/global marked beta.</t>
        </is>
      </c>
      <c r="O21" s="2" t="inlineStr">
        <is>
          <t>page</t>
        </is>
      </c>
      <c r="P21" s="2" t="inlineStr">
        <is>
          <t>https://stripe.com/in/pricing
https://stripe.com/global</t>
        </is>
      </c>
    </row>
    <row r="22">
      <c r="A22" s="2" t="inlineStr">
        <is>
          <t>PayPal</t>
        </is>
      </c>
      <c r="B22" s="2" t="inlineStr">
        <is>
          <t>ES</t>
        </is>
      </c>
      <c r="C22" s="2" t="inlineStr">
        <is>
          <t>EUR</t>
        </is>
      </c>
      <c r="D22" s="2" t="inlineStr">
        <is>
          <t>2.90% + €0.35 standard commercial; card payments from guests 1.20% + fixed fee</t>
        </is>
      </c>
      <c r="E22" s="2" t="inlineStr">
        <is>
          <t>no extra international percentage from EEA senders</t>
        </is>
      </c>
      <c r="F22" s="2" t="inlineStr">
        <is>
          <t>+1.29% on top of domestic</t>
        </is>
      </c>
      <c r="G22" s="2" t="inlineStr">
        <is>
          <t>+1.99% on top (other markets)</t>
        </is>
      </c>
      <c r="H22" s="2" t="inlineStr">
        <is>
          <t>3.0% over base rate</t>
        </is>
      </c>
      <c r="I22" s="2" t="inlineStr">
        <is>
          <t>€14 dispute (€28 high volume); chargeback €16</t>
        </is>
      </c>
      <c r="J22" s="2" t="inlineStr">
        <is>
          <t>EU bank withdrawal free (no conversion); card withdrawal 1% (min €0.25 max €10)</t>
        </is>
      </c>
      <c r="K22" s="2" t="inlineStr"/>
      <c r="L22" s="2" t="inlineStr"/>
      <c r="M22" s="2" t="inlineStr">
        <is>
          <t>• {"name": "QR payments ≥ €10.01", "rate": "0.90% + fixed fee"}
• {"name": "QR payments ≤ €10", "rate": "1.40% + fixed fee"}
• {"name": "APMs such as Twint", "rate": "2.9% + fixed fee"}
• {"name": "Other APMs", "rate": "1.20% + fixed fee"}
• {"name": "Micropayments (under €5, needs approval)", "rate": "5.0% + €0.05 domestic, 6.0% + €0.05 international"}</t>
        </is>
      </c>
      <c r="N22" s="2" t="inlineStr">
        <is>
          <t>Fixed fee €0.35.</t>
        </is>
      </c>
      <c r="O22" s="2" t="inlineStr">
        <is>
          <t>page</t>
        </is>
      </c>
      <c r="P22" s="2" t="inlineStr">
        <is>
          <t>https://www.paypal.com/es/business/paypal-business-fees</t>
        </is>
      </c>
    </row>
    <row r="23">
      <c r="A23" s="2" t="inlineStr">
        <is>
          <t>PayPal</t>
        </is>
      </c>
      <c r="B23" s="2" t="inlineStr">
        <is>
          <t>CZ</t>
        </is>
      </c>
      <c r="C23" s="2" t="inlineStr">
        <is>
          <t>CZK</t>
        </is>
      </c>
      <c r="D23" s="2" t="inlineStr">
        <is>
          <t>3.4% + 10.00 CZK (0.35 EUR / 0.30 USD in other currencies)</t>
        </is>
      </c>
      <c r="E23" s="2" t="inlineStr">
        <is>
          <t>no extra for EEA senders</t>
        </is>
      </c>
      <c r="F23" s="2" t="inlineStr"/>
      <c r="G23" s="2" t="inlineStr">
        <is>
          <t>+1.99% (other markets); 1.29% for senders in the Czech Republic</t>
        </is>
      </c>
      <c r="H23" s="2" t="inlineStr">
        <is>
          <t>3% markup on base rate</t>
        </is>
      </c>
      <c r="I23" s="2" t="inlineStr">
        <is>
          <t>350 CZK (700 CZK high volume); chargeback 400 CZK</t>
        </is>
      </c>
      <c r="J23" s="2" t="inlineStr">
        <is>
          <t>bank withdrawal free if no conversion</t>
        </is>
      </c>
      <c r="K23" s="2" t="inlineStr"/>
      <c r="L23" s="2" t="inlineStr"/>
      <c r="M23" s="2" t="inlineStr">
        <is>
          <t>• {"name": "QR payments", "rate": "0.9% (≥ €10.01) / 1.4% (≤ €10) + fixed fee"}</t>
        </is>
      </c>
      <c r="N23" s="2" t="inlineStr">
        <is>
          <t>Page text on the international add-on for CZ senders is ambiguous as extracted.</t>
        </is>
      </c>
      <c r="O23" s="2" t="inlineStr">
        <is>
          <t>page</t>
        </is>
      </c>
      <c r="P23" s="2" t="inlineStr">
        <is>
          <t>https://www.paypal.com/cz/business/paypal-business-fees</t>
        </is>
      </c>
    </row>
    <row r="24">
      <c r="A24" s="2" t="inlineStr">
        <is>
          <t>PayPal</t>
        </is>
      </c>
      <c r="B24" s="2" t="inlineStr">
        <is>
          <t>GB</t>
        </is>
      </c>
      <c r="C24" s="2" t="inlineStr">
        <is>
          <t>GBP</t>
        </is>
      </c>
      <c r="D24" s="2" t="inlineStr">
        <is>
          <t>2.9% + £0.30; guest card payments 1.2% + fixed fee; BNPL 3.9% + fixed fee</t>
        </is>
      </c>
      <c r="E24" s="2" t="inlineStr">
        <is>
          <t>+1.29%</t>
        </is>
      </c>
      <c r="F24" s="2" t="inlineStr"/>
      <c r="G24" s="2" t="inlineStr">
        <is>
          <t>+1.99% (all other markets)</t>
        </is>
      </c>
      <c r="H24" s="2" t="inlineStr">
        <is>
          <t>3% above base rate</t>
        </is>
      </c>
      <c r="I24" s="2" t="inlineStr">
        <is>
          <t>£12 (£24 high volume); chargeback £14</t>
        </is>
      </c>
      <c r="J24" s="2" t="inlineStr">
        <is>
          <t>UK bank/card withdrawal free if no conversion</t>
        </is>
      </c>
      <c r="K24" s="2" t="inlineStr"/>
      <c r="L24" s="2" t="inlineStr"/>
      <c r="M24" s="2" t="inlineStr">
        <is>
          <t>• {"name": "Micropayments (under £5, needs approval)", "rate": "5% + £0.05 domestic / 6% + £0.05 international"}</t>
        </is>
      </c>
      <c r="N24" s="2" t="inlineStr"/>
      <c r="O24" s="2" t="inlineStr">
        <is>
          <t>page</t>
        </is>
      </c>
      <c r="P24" s="2" t="inlineStr">
        <is>
          <t>https://www.paypal.com/uk/business/paypal-business-fees</t>
        </is>
      </c>
    </row>
    <row r="25">
      <c r="A25" s="2" t="inlineStr">
        <is>
          <t>PayPal</t>
        </is>
      </c>
      <c r="B25" s="2" t="inlineStr">
        <is>
          <t>US</t>
        </is>
      </c>
      <c r="C25" s="2" t="inlineStr">
        <is>
          <t>USD</t>
        </is>
      </c>
      <c r="D25" s="2" t="inlineStr">
        <is>
          <t>PayPal checkout / Venmo 3.49% + $0.49; standard card payments 2.99% + $0.49</t>
        </is>
      </c>
      <c r="E25" s="2" t="inlineStr"/>
      <c r="F25" s="2" t="inlineStr"/>
      <c r="G25" s="2" t="inlineStr">
        <is>
          <t>+1.50% on all commercial transactions</t>
        </is>
      </c>
      <c r="H25" s="2" t="inlineStr">
        <is>
          <t>3.00% spread (4.00% for some)</t>
        </is>
      </c>
      <c r="I25" s="2" t="inlineStr"/>
      <c r="J25" s="2" t="inlineStr">
        <is>
          <t>standard bank transfer free; instant 1.5% min $0.50</t>
        </is>
      </c>
      <c r="K25" s="2" t="inlineStr"/>
      <c r="L25" s="2" t="inlineStr"/>
      <c r="M25" s="2" t="inlineStr"/>
      <c r="N25" s="2" t="inlineStr">
        <is>
          <t>Chargeback fee $20.</t>
        </is>
      </c>
      <c r="O25" s="2" t="inlineStr">
        <is>
          <t>page</t>
        </is>
      </c>
      <c r="P25" s="2" t="inlineStr">
        <is>
          <t>https://www.paypal.com/us/business/paypal-business-fees</t>
        </is>
      </c>
    </row>
    <row r="26">
      <c r="A26" s="2" t="inlineStr">
        <is>
          <t>PayPal</t>
        </is>
      </c>
      <c r="B26" s="2" t="inlineStr">
        <is>
          <t>IL</t>
        </is>
      </c>
      <c r="C26" s="2" t="inlineStr">
        <is>
          <t>ILS</t>
        </is>
      </c>
      <c r="D26" s="2" t="inlineStr">
        <is>
          <t>3.40% + ILS 1.20 (excl. 18% VAT; 4.01% + 1.42 incl. VAT)</t>
        </is>
      </c>
      <c r="E26" s="2" t="inlineStr"/>
      <c r="F26" s="2" t="inlineStr"/>
      <c r="G26" s="2" t="inlineStr">
        <is>
          <t>+1.00% for Canada/Europe I/Northern Europe/US senders; +2.00% other countries (excl. VAT)</t>
        </is>
      </c>
      <c r="H26" s="2" t="inlineStr">
        <is>
          <t>2.5% over base rate (2.95% incl. VAT)</t>
        </is>
      </c>
      <c r="I26" s="2" t="inlineStr">
        <is>
          <t>ILS 30 chargeback (ILS 60 high volume), excl. VAT</t>
        </is>
      </c>
      <c r="J26" s="2" t="inlineStr">
        <is>
          <t>Israeli bank withdrawal free from ILS 1,000; under 1,000: ILS 8</t>
        </is>
      </c>
      <c r="K26" s="2" t="inlineStr"/>
      <c r="L26" s="2" t="inlineStr"/>
      <c r="M26" s="2" t="inlineStr"/>
      <c r="N26" s="2" t="inlineStr">
        <is>
          <t>VAT-inclusive column shown on the page; page last updated 6 July 2026. One USD dispute figure on the page looked like a page error.</t>
        </is>
      </c>
      <c r="O26" s="2" t="inlineStr">
        <is>
          <t>page</t>
        </is>
      </c>
      <c r="P26" s="2" t="inlineStr">
        <is>
          <t>https://www.paypal.com/il/business/paypal-business-fees</t>
        </is>
      </c>
    </row>
    <row r="27">
      <c r="A27" s="2" t="inlineStr">
        <is>
          <t>Square</t>
        </is>
      </c>
      <c r="B27" s="2" t="inlineStr">
        <is>
          <t>US</t>
        </is>
      </c>
      <c r="C27" s="2" t="inlineStr">
        <is>
          <t>USD</t>
        </is>
      </c>
      <c r="D27" s="2" t="inlineStr">
        <is>
          <t>Online 3.3% + 30¢ (Free plan); 2.9% + 30¢ (Plus and Premium plans)</t>
        </is>
      </c>
      <c r="E27" s="2" t="inlineStr"/>
      <c r="F27" s="2" t="inlineStr"/>
      <c r="G27" s="2" t="inlineStr"/>
      <c r="H27" s="2" t="inlineStr"/>
      <c r="I27" s="2" t="inlineStr"/>
      <c r="J27" s="2" t="inlineStr"/>
      <c r="K27" s="2" t="inlineStr">
        <is>
          <t>Square Free $0; Plus/Premium are paid plans (price not read)</t>
        </is>
      </c>
      <c r="L27" s="2" t="inlineStr"/>
      <c r="M27" s="2" t="inlineStr">
        <is>
          <t>• {"name": "In-person", "rate": "2.6% + 15¢ / 2.5% + 15¢ / 2.4% + 15¢ by plan"}
• {"name": "Manual entry / card on file", "rate": "3.5% + 15¢"}
• {"name": "ACH via invoice", "rate": "1% min $1 (cap $10 on higher plans)"}
• {"name": "Afterpay", "rate": "6% + 30¢"}</t>
        </is>
      </c>
      <c r="N27" s="2" t="inlineStr">
        <is>
          <t>Custom pricing above $250,000/year processed. Plan tiers inferred from column order of the fees page.</t>
        </is>
      </c>
      <c r="O27" s="2" t="inlineStr">
        <is>
          <t>page</t>
        </is>
      </c>
      <c r="P27" s="2" t="inlineStr">
        <is>
          <t>https://squareup.com/us/en/payments/our-fees</t>
        </is>
      </c>
    </row>
    <row r="28">
      <c r="A28" s="2" t="inlineStr">
        <is>
          <t>Square</t>
        </is>
      </c>
      <c r="B28" s="2" t="inlineStr">
        <is>
          <t>GB</t>
        </is>
      </c>
      <c r="C28" s="2" t="inlineStr">
        <is>
          <t>GBP</t>
        </is>
      </c>
      <c r="D28" s="2" t="inlineStr">
        <is>
          <t>Online 1.4% + 25p (UK cards)</t>
        </is>
      </c>
      <c r="E28" s="2" t="inlineStr"/>
      <c r="F28" s="2" t="inlineStr">
        <is>
          <t>1.4% + 25p</t>
        </is>
      </c>
      <c r="G28" s="2" t="inlineStr">
        <is>
          <t>2.5% + 25p (non-UK cards)</t>
        </is>
      </c>
      <c r="H28" s="2" t="inlineStr"/>
      <c r="I28" s="2" t="inlineStr"/>
      <c r="J28" s="2" t="inlineStr">
        <is>
          <t>Instant transfer 1.5% (min £15, max £3,500/day)</t>
        </is>
      </c>
      <c r="K28" s="2" t="inlineStr"/>
      <c r="L28" s="2" t="inlineStr"/>
      <c r="M28" s="2" t="inlineStr">
        <is>
          <t>• {"name": "In person", "rate": "1.75% (UK cards), non-UK +1.5%"}
• {"name": "Invoices / manually entered", "rate": "2.5%, non-UK +1.5%"}</t>
        </is>
      </c>
      <c r="N28" s="2" t="inlineStr">
        <is>
          <t>Chargeback fee on separate page, not read.</t>
        </is>
      </c>
      <c r="O28" s="2" t="inlineStr">
        <is>
          <t>page</t>
        </is>
      </c>
      <c r="P28" s="2" t="inlineStr">
        <is>
          <t>https://squareup.com/gb/en/pricing</t>
        </is>
      </c>
    </row>
    <row r="29">
      <c r="A29" s="2" t="inlineStr">
        <is>
          <t>Square</t>
        </is>
      </c>
      <c r="B29" s="2" t="inlineStr">
        <is>
          <t>ES</t>
        </is>
      </c>
      <c r="C29" s="2" t="inlineStr">
        <is>
          <t>EUR</t>
        </is>
      </c>
      <c r="D29" s="2" t="inlineStr">
        <is>
          <t>Online from 1.4% + €0.25 (EU/EEA cards)</t>
        </is>
      </c>
      <c r="E29" s="2" t="inlineStr">
        <is>
          <t>1.4% + €0.25</t>
        </is>
      </c>
      <c r="F29" s="2" t="inlineStr">
        <is>
          <t>2.9% + €0.25 (UK and non-EEA)</t>
        </is>
      </c>
      <c r="G29" s="2" t="inlineStr">
        <is>
          <t>2.9% + €0.25</t>
        </is>
      </c>
      <c r="H29" s="2" t="inlineStr"/>
      <c r="I29" s="2" t="inlineStr"/>
      <c r="J29" s="2" t="inlineStr"/>
      <c r="K29" s="2" t="inlineStr"/>
      <c r="L29" s="2" t="inlineStr"/>
      <c r="M29" s="2" t="inlineStr">
        <is>
          <t>• {"name": "In person", "rate": "1.25% + €0.05"}
• {"name": "Manually entered card", "rate": "2%"}
• {"name": "Invoices / virtual terminal / saved cards", "rate": "2.5% (+1.5% non-EEA cards)"}</t>
        </is>
      </c>
      <c r="N29" s="2" t="inlineStr">
        <is>
          <t>Page does not state VAT on fees or a chargeback fee.</t>
        </is>
      </c>
      <c r="O29" s="2" t="inlineStr">
        <is>
          <t>page</t>
        </is>
      </c>
      <c r="P29" s="2" t="inlineStr">
        <is>
          <t>https://squareup.com/es/es/pricing</t>
        </is>
      </c>
    </row>
    <row r="30">
      <c r="A30" s="2" t="inlineStr">
        <is>
          <t>Mollie</t>
        </is>
      </c>
      <c r="B30" s="2" t="inlineStr">
        <is>
          <t>NL</t>
        </is>
      </c>
      <c r="C30" s="2" t="inlineStr">
        <is>
          <t>EUR</t>
        </is>
      </c>
      <c r="D30" s="2" t="inlineStr">
        <is>
          <t>1.80% + €0.25 EEA consumer cards</t>
        </is>
      </c>
      <c r="E30" s="2" t="inlineStr">
        <is>
          <t>1.80% + €0.25 consumer; 2.90% + €0.25 commercial</t>
        </is>
      </c>
      <c r="F30" s="2" t="inlineStr">
        <is>
          <t>3.25% + €0.25 (non-EEA)</t>
        </is>
      </c>
      <c r="G30" s="2" t="inlineStr">
        <is>
          <t>3.25% + €0.25</t>
        </is>
      </c>
      <c r="H30" s="2" t="inlineStr">
        <is>
          <t>not priced; payouts in a non-primary currency 1% of amount</t>
        </is>
      </c>
      <c r="I30" s="2" t="inlineStr">
        <is>
          <t>not listed</t>
        </is>
      </c>
      <c r="J30" s="2" t="inlineStr">
        <is>
          <t>up to 5 payouts a month free, then €0.25 each (under €500k/yr volume)</t>
        </is>
      </c>
      <c r="K30" s="2" t="inlineStr">
        <is>
          <t>none for online payments</t>
        </is>
      </c>
      <c r="L30" s="2" t="inlineStr">
        <is>
          <t>not listed</t>
        </is>
      </c>
      <c r="M30" s="2" t="inlineStr">
        <is>
          <t>• {"name": "iDEAL | Wero", "rate": "€0.32"}
• {"name": "Bancontact", "rate": "1.40% + €0.25"}
• {"name": "SEPA Direct Debit", "rate": "€0.35"}
• {"name": "SEPA bank transfer", "rate": "€0.25"}
• {"name": "Klarna (NL/BE)", "rate": "2.99% + €0.45"}
• {"name": "PayPal", "rate": "PayPal fees + €0.10"}
• {"name": "Twint", "rate": "2.30% + €0.25"}
• {"name": "Przelewy24", "rate": "2.20% + €0.25"}
• {"name": "BLIK", "rate": "1.60% + €0.25"}
• {"name": "American Express", "rate": "2.90% + €0.25"}</t>
        </is>
      </c>
      <c r="N30" s="2" t="inlineStr">
        <is>
          <t>Page says no minimum costs.</t>
        </is>
      </c>
      <c r="O30" s="2" t="inlineStr">
        <is>
          <t>page</t>
        </is>
      </c>
      <c r="P30" s="2" t="inlineStr">
        <is>
          <t>https://www.mollie.com/pricing</t>
        </is>
      </c>
    </row>
    <row r="31">
      <c r="A31" s="2" t="inlineStr">
        <is>
          <t>Mollie</t>
        </is>
      </c>
      <c r="B31" s="2" t="inlineStr">
        <is>
          <t>ES</t>
        </is>
      </c>
      <c r="C31" s="2" t="inlineStr">
        <is>
          <t>EUR</t>
        </is>
      </c>
      <c r="D31" s="2" t="inlineStr">
        <is>
          <t>1.20% + €0.25 domestic consumer cards</t>
        </is>
      </c>
      <c r="E31" s="2" t="inlineStr">
        <is>
          <t>1.80% + €0.25 consumer; 2.90% + €0.25 commercial</t>
        </is>
      </c>
      <c r="F31" s="2" t="inlineStr">
        <is>
          <t>3.25% + €0.25 (non-EEA)</t>
        </is>
      </c>
      <c r="G31" s="2" t="inlineStr">
        <is>
          <t>3.25% + €0.25</t>
        </is>
      </c>
      <c r="H31" s="2" t="inlineStr"/>
      <c r="I31" s="2" t="inlineStr">
        <is>
          <t>not listed</t>
        </is>
      </c>
      <c r="J31" s="2" t="inlineStr"/>
      <c r="K31" s="2" t="inlineStr">
        <is>
          <t>none for online payments</t>
        </is>
      </c>
      <c r="L31" s="2" t="inlineStr">
        <is>
          <t>not listed</t>
        </is>
      </c>
      <c r="M31" s="2" t="inlineStr">
        <is>
          <t>• {"name": "Bizum", "rate": "acquirer fees + 0.10% + €0.10"}
• {"name": "PayPal", "rate": "PayPal fees + €0.10"}
• {"name": "SEPA Direct Debit", "rate": "€0.35"}
• {"name": "SEPA transfer", "rate": "€0.25"}
• {"name": "Klarna (ES)", "rate": "4.99% + €0.40"}</t>
        </is>
      </c>
      <c r="N31" s="2" t="inlineStr"/>
      <c r="O31" s="2" t="inlineStr">
        <is>
          <t>page</t>
        </is>
      </c>
      <c r="P31" s="2" t="inlineStr">
        <is>
          <t>https://www.mollie.com/es/pricing</t>
        </is>
      </c>
    </row>
    <row r="32">
      <c r="A32" s="2" t="inlineStr">
        <is>
          <t>Adyen</t>
        </is>
      </c>
      <c r="B32" s="2" t="inlineStr">
        <is>
          <t>global</t>
        </is>
      </c>
      <c r="C32" s="2" t="inlineStr">
        <is>
          <t>USD/EUR</t>
        </is>
      </c>
      <c r="D32" s="2" t="inlineStr">
        <is>
          <t>$0.13 + interchange++ + 0.60% (Visa and Mastercard, global)</t>
        </is>
      </c>
      <c r="E32" s="2" t="inlineStr"/>
      <c r="F32" s="2" t="inlineStr"/>
      <c r="G32" s="2" t="inlineStr"/>
      <c r="H32" s="2" t="inlineStr"/>
      <c r="I32" s="2" t="inlineStr">
        <is>
          <t>not listed</t>
        </is>
      </c>
      <c r="J32" s="2" t="inlineStr"/>
      <c r="K32" s="2" t="inlineStr">
        <is>
          <t>none published; a minimum invoice applies by industry, amount not published</t>
        </is>
      </c>
      <c r="L32" s="2" t="inlineStr">
        <is>
          <t>none (page: no setup, integration or closure fees)</t>
        </is>
      </c>
      <c r="M32" s="2" t="inlineStr">
        <is>
          <t>• {"name": "iDEAL", "rate": "$0.13 + €0.22"}
• {"name": "SEPA Direct Debit", "rate": "$0.13 + €0.27"}
• {"name": "Amex", "rate": "North America $0.13 + 3.3% + $0.10; global $0.13 + 3.95%"}
• {"name": "Alipay", "rate": "$0.13 + 3%"}</t>
        </is>
      </c>
      <c r="N32" s="2" t="inlineStr">
        <is>
          <t>Fees are described as indicative; custom pricing. Interchange++ passes scheme and interchange fees at cost.</t>
        </is>
      </c>
      <c r="O32" s="2" t="inlineStr">
        <is>
          <t>page</t>
        </is>
      </c>
      <c r="P32" s="2" t="inlineStr">
        <is>
          <t>https://www.adyen.com/pricing</t>
        </is>
      </c>
    </row>
    <row r="33">
      <c r="A33" s="2" t="inlineStr">
        <is>
          <t>SumUp</t>
        </is>
      </c>
      <c r="B33" s="2" t="inlineStr">
        <is>
          <t>GB</t>
        </is>
      </c>
      <c r="C33" s="2" t="inlineStr">
        <is>
          <t>GBP</t>
        </is>
      </c>
      <c r="D33" s="2" t="inlineStr">
        <is>
          <t>2.50% per online transaction</t>
        </is>
      </c>
      <c r="E33" s="2" t="inlineStr"/>
      <c r="F33" s="2" t="inlineStr"/>
      <c r="G33" s="2" t="inlineStr"/>
      <c r="H33" s="2" t="inlineStr"/>
      <c r="I33" s="2" t="inlineStr">
        <is>
          <t>not listed</t>
        </is>
      </c>
      <c r="J33" s="2" t="inlineStr">
        <is>
          <t>not listed (payouts by 7am next day)</t>
        </is>
      </c>
      <c r="K33" s="2" t="inlineStr">
        <is>
          <t>£0</t>
        </is>
      </c>
      <c r="L33" s="2" t="inlineStr">
        <is>
          <t>none</t>
        </is>
      </c>
      <c r="M33" s="2" t="inlineStr"/>
      <c r="N33" s="2" t="inlineStr">
        <is>
          <t>Checkout SDK/API pricing is custom via sales.</t>
        </is>
      </c>
      <c r="O33" s="2" t="inlineStr">
        <is>
          <t>page</t>
        </is>
      </c>
      <c r="P33" s="2" t="inlineStr">
        <is>
          <t>https://www.sumup.com/en-gb/online-payments/</t>
        </is>
      </c>
    </row>
    <row r="34">
      <c r="A34" s="2" t="inlineStr">
        <is>
          <t>SumUp</t>
        </is>
      </c>
      <c r="B34" s="2" t="inlineStr">
        <is>
          <t>ES</t>
        </is>
      </c>
      <c r="C34" s="2" t="inlineStr">
        <is>
          <t>EUR</t>
        </is>
      </c>
      <c r="D34" s="2" t="inlineStr">
        <is>
          <t>1.95% per online transaction (incl. payment links)</t>
        </is>
      </c>
      <c r="E34" s="2" t="inlineStr"/>
      <c r="F34" s="2" t="inlineStr"/>
      <c r="G34" s="2" t="inlineStr"/>
      <c r="H34" s="2" t="inlineStr"/>
      <c r="I34" s="2" t="inlineStr">
        <is>
          <t>not listed</t>
        </is>
      </c>
      <c r="J34" s="2" t="inlineStr">
        <is>
          <t>not listed</t>
        </is>
      </c>
      <c r="K34" s="2" t="inlineStr">
        <is>
          <t>€0</t>
        </is>
      </c>
      <c r="L34" s="2" t="inlineStr">
        <is>
          <t>none</t>
        </is>
      </c>
      <c r="M34" s="2" t="inlineStr"/>
      <c r="N34" s="2" t="inlineStr">
        <is>
          <t>Checkout SDK/API pricing custom.</t>
        </is>
      </c>
      <c r="O34" s="2" t="inlineStr">
        <is>
          <t>page</t>
        </is>
      </c>
      <c r="P34" s="2" t="inlineStr">
        <is>
          <t>https://www.sumup.com/es-es/pagos-online/</t>
        </is>
      </c>
    </row>
    <row r="35">
      <c r="A35" s="2" t="inlineStr">
        <is>
          <t>Revolut Business</t>
        </is>
      </c>
      <c r="B35" s="2" t="inlineStr">
        <is>
          <t>EEA (Slovenia page)</t>
        </is>
      </c>
      <c r="C35" s="2" t="inlineStr">
        <is>
          <t>EUR</t>
        </is>
      </c>
      <c r="D35" s="2" t="inlineStr">
        <is>
          <t>1% + €0.20 domestic and European consumer Visa/Mastercard online</t>
        </is>
      </c>
      <c r="E35" s="2" t="inlineStr">
        <is>
          <t>1% + €0.20 consumer</t>
        </is>
      </c>
      <c r="F35" s="2" t="inlineStr"/>
      <c r="G35" s="2" t="inlineStr">
        <is>
          <t>2.8% + €0.20 (all international and domestic commercial cards)</t>
        </is>
      </c>
      <c r="H35" s="2" t="inlineStr">
        <is>
          <t>settle in up to 32 currencies at no charge until exchanged</t>
        </is>
      </c>
      <c r="I35" s="2" t="inlineStr">
        <is>
          <t>€15 chargeback (refunded if ruled in merchant's favour)</t>
        </is>
      </c>
      <c r="J35" s="2" t="inlineStr">
        <is>
          <t>next-day settlement; no payout fee stated</t>
        </is>
      </c>
      <c r="K35" s="2" t="inlineStr">
        <is>
          <t>included with Revolut Business plans</t>
        </is>
      </c>
      <c r="L35" s="2" t="inlineStr">
        <is>
          <t>none</t>
        </is>
      </c>
      <c r="M35" s="2" t="inlineStr">
        <is>
          <t>• {"name": "Revolut Pay", "rate": "1% + €0.20"}
• {"name": "Pay by Bank", "rate": "1% + €0.20, cap €5"}
• {"name": "Amex domestic consumer", "rate": "1.7% + €0.20"}</t>
        </is>
      </c>
      <c r="N35" s="2" t="inlineStr">
        <is>
          <t>UK Revolut Pro snippet shows 1.0% + £0.20 for domestic personal cards (snippet only). Refunds have no extra fee.</t>
        </is>
      </c>
      <c r="O35" s="2" t="inlineStr">
        <is>
          <t>page</t>
        </is>
      </c>
      <c r="P35" s="2" t="inlineStr">
        <is>
          <t>https://www.revolut.com/en-SI/business/accept-payments-pricing/</t>
        </is>
      </c>
    </row>
    <row r="36">
      <c r="A36" s="2" t="inlineStr">
        <is>
          <t>Flitt</t>
        </is>
      </c>
      <c r="B36" s="2" t="inlineStr">
        <is>
          <t>GE (also UZ, AM, MD)</t>
        </is>
      </c>
      <c r="C36" s="2" t="inlineStr">
        <is>
          <t>GEL/USD/EUR</t>
        </is>
      </c>
      <c r="D36" s="2" t="inlineStr">
        <is>
          <t>Starter (0-10,000 GEL/month): 2.2%; Growth (10,000-50,000 GEL/month): 2.0%</t>
        </is>
      </c>
      <c r="E36" s="2" t="inlineStr"/>
      <c r="F36" s="2" t="inlineStr"/>
      <c r="G36" s="2" t="inlineStr">
        <is>
          <t>2.5% on both tiers</t>
        </is>
      </c>
      <c r="H36" s="2" t="inlineStr">
        <is>
          <t>refunds in foreign currency use purchase-date rate, merchant covers difference</t>
        </is>
      </c>
      <c r="I36" s="2" t="inlineStr">
        <is>
          <t>not listed</t>
        </is>
      </c>
      <c r="J36" s="2" t="inlineStr">
        <is>
          <t>no settlement fee stated; payments reflected within 24 hours</t>
        </is>
      </c>
      <c r="K36" s="2" t="inlineStr">
        <is>
          <t>not listed</t>
        </is>
      </c>
      <c r="L36" s="2" t="inlineStr">
        <is>
          <t>not listed</t>
        </is>
      </c>
      <c r="M36" s="2" t="inlineStr">
        <is>
          <t>• {"name": "Open banking / pay by bank", "rate": "up to 1%"}
• {"name": "Google Pay, Apple Pay, bank account, TBC instalment/split", "rate": "included, no separate rate listed"}</t>
        </is>
      </c>
      <c r="N36" s="2" t="inlineStr">
        <is>
          <t>Enterprise tier above 50,000 GEL custom. Needs business registered in GE/UZ/AM/MD with active TBC account. Powered by TBC.</t>
        </is>
      </c>
      <c r="O36" s="2" t="inlineStr">
        <is>
          <t>page</t>
        </is>
      </c>
      <c r="P36" s="2" t="inlineStr">
        <is>
          <t>https://flitt.com/pricing/</t>
        </is>
      </c>
    </row>
    <row r="37">
      <c r="A37" s="2" t="inlineStr">
        <is>
          <t>AllPay</t>
        </is>
      </c>
      <c r="B37" s="2" t="inlineStr">
        <is>
          <t>IL</t>
        </is>
      </c>
      <c r="C37" s="2" t="inlineStr">
        <is>
          <t>ILS</t>
        </is>
      </c>
      <c r="D37" s="2" t="inlineStr">
        <is>
          <t>Israeli cards: 1.4% (turnover 0-10K), 1.35% (10-50K), 1.3% (50-100K), 1.25% (100-500K), 1.2% (500K+), plus ILS 1 fixed (or USD 0.30)</t>
        </is>
      </c>
      <c r="E37" s="2" t="inlineStr"/>
      <c r="F37" s="2" t="inlineStr"/>
      <c r="G37" s="2" t="inlineStr">
        <is>
          <t>3.6% / 3.55% / 3.5% / 3.45% / 3.4% by same tiers, plus fixed fee</t>
        </is>
      </c>
      <c r="H37" s="2" t="inlineStr"/>
      <c r="I37" s="2" t="inlineStr">
        <is>
          <t>ILS 59 per chargeback</t>
        </is>
      </c>
      <c r="J37" s="2" t="inlineStr">
        <is>
          <t>monthly payout on the 6th free above ILS 5,000, ILS 14.90 below; weekly payout (needs approval) priced at prime + 3.7%/12</t>
        </is>
      </c>
      <c r="K37" s="2" t="inlineStr">
        <is>
          <t>ILS 50 regardless of turnover</t>
        </is>
      </c>
      <c r="L37" s="2" t="inlineStr">
        <is>
          <t>free connection with 7-day trial (page also mentions a one-time ILS 50 connection fee in some sections)</t>
        </is>
      </c>
      <c r="M37" s="2" t="inlineStr">
        <is>
          <t>• {"name": "Bit, Apple Pay, Google Pay", "rate": "no extra beyond card rate"}
• {"name": "Amex and Diners", "rate": "+0.5%"}
• {"name": "3D Secure", "rate": "0.2% per payment"}
• {"name": "Shopify integration", "rate": "0.35% per payment + ILS 44/month per store"}
• {"name": "Refund", "rate": "ILS 3.90 each"}
• {"name": "Recurring subscriptions", "rate": "ILS 15/month"}</t>
        </is>
      </c>
      <c r="N37" s="2" t="inlineStr">
        <is>
          <t>Prices exclude VAT. Business cards may carry a 1.5-1.75% surcharge set by the card networks, not AllPay. Instalments up to 12 with no extra commission. Digital receipts third-party about ILS 20/month. Page read in Russian.</t>
        </is>
      </c>
      <c r="O37" s="2" t="inlineStr">
        <is>
          <t>page</t>
        </is>
      </c>
      <c r="P37" s="2" t="inlineStr">
        <is>
          <t>https://allpay.co.il/pricing
https://www.allpay.co.il/en/help/cards-pricing</t>
        </is>
      </c>
    </row>
    <row r="38">
      <c r="A38" s="2" t="inlineStr">
        <is>
          <t>Grow (Meshulam)</t>
        </is>
      </c>
      <c r="B38" s="2" t="inlineStr">
        <is>
          <t>IL</t>
        </is>
      </c>
      <c r="C38" s="2" t="inlineStr">
        <is>
          <t>ILS</t>
        </is>
      </c>
      <c r="D38" s="2" t="inlineStr">
        <is>
          <t>Standard plan 0.75% per transaction; Grow Light 1%</t>
        </is>
      </c>
      <c r="E38" s="2" t="inlineStr"/>
      <c r="F38" s="2" t="inlineStr"/>
      <c r="G38" s="2" t="inlineStr">
        <is>
          <t>tourist cards 3.5%; Diners 1.5%</t>
        </is>
      </c>
      <c r="H38" s="2" t="inlineStr"/>
      <c r="I38" s="2" t="inlineStr"/>
      <c r="J38" s="2" t="inlineStr"/>
      <c r="K38" s="2" t="inlineStr">
        <is>
          <t>Standard ILS 59/month on annual (ILS 708 upfront) or ILS 69 monthly, includes 100 transactions and 100 documents, overage ILS 0.5 each; Light ILS 29/month (ILS 348 annual) with 20 transactions, overage ILS 1</t>
        </is>
      </c>
      <c r="L38" s="2" t="inlineStr">
        <is>
          <t>none listed (WordPress plugin one-time ILS 299 per third-party review)</t>
        </is>
      </c>
      <c r="M38" s="2" t="inlineStr">
        <is>
          <t>• {"name": "Bank transfer receipts", "rate": "ILS 1 each"}
• {"name": "3D Secure (third-party review)", "rate": "ILS 2.50 per transaction"}</t>
        </is>
      </c>
      <c r="N38" s="2" t="inlineStr">
        <is>
          <t>Prices exclude VAT. Clearing fee included. Full fee schedule at grow.business/fees was not accessible. Competing gateways sometimes quote 1.5% + 1 NIS for low volume (Wix support snippet).</t>
        </is>
      </c>
      <c r="O38" s="2" t="inlineStr">
        <is>
          <t>page</t>
        </is>
      </c>
      <c r="P38" s="2" t="inlineStr">
        <is>
          <t>https://grow.business/price-offer/
https://danielmashkov.com/insights/israeli-payment-gateways-comparison</t>
        </is>
      </c>
    </row>
    <row r="39">
      <c r="A39" s="2" t="inlineStr">
        <is>
          <t>Tranzila</t>
        </is>
      </c>
      <c r="B39" s="2" t="inlineStr">
        <is>
          <t>IL</t>
        </is>
      </c>
      <c r="C39" s="2" t="inlineStr">
        <is>
          <t>ILS</t>
        </is>
      </c>
      <c r="D39" s="2" t="inlineStr">
        <is>
          <t>No public price list for online stores; one snippet attributes 1.9% to Tranzila</t>
        </is>
      </c>
      <c r="E39" s="2" t="inlineStr"/>
      <c r="F39" s="2" t="inlineStr"/>
      <c r="G39" s="2" t="inlineStr"/>
      <c r="H39" s="2" t="inlineStr"/>
      <c r="I39" s="2" t="inlineStr"/>
      <c r="J39" s="2" t="inlineStr"/>
      <c r="K39" s="2" t="inlineStr">
        <is>
          <t>snippet: ILS 59/month on annual plan or ILS 69 monthly, with 100 transactions and 100 documents included (the third-party article elsewhere says the 'from ILS 29' figure on Tranzila's site is a mobile-clearing product)</t>
        </is>
      </c>
      <c r="L39" s="2" t="inlineStr"/>
      <c r="M39" s="2" t="inlineStr"/>
      <c r="N39" s="2" t="inlineStr">
        <is>
          <t>Contradiction between third-party sources about whether Tranzila publishes any price; treat as quote-based. Page tranzila.com/pricing returned 404.</t>
        </is>
      </c>
      <c r="O39" s="2" t="inlineStr">
        <is>
          <t>third_party</t>
        </is>
      </c>
      <c r="P39" s="2" t="inlineStr">
        <is>
          <t>https://danielmashkov.com/insights/israeli-payment-gateways-comparison</t>
        </is>
      </c>
    </row>
    <row r="40">
      <c r="A40" s="2" t="inlineStr">
        <is>
          <t>Cardcom</t>
        </is>
      </c>
      <c r="B40" s="2" t="inlineStr">
        <is>
          <t>IL</t>
        </is>
      </c>
      <c r="C40" s="2" t="inlineStr">
        <is>
          <t>ILS</t>
        </is>
      </c>
      <c r="D40" s="2" t="inlineStr">
        <is>
          <t>No public price list; quote per business</t>
        </is>
      </c>
      <c r="E40" s="2" t="inlineStr"/>
      <c r="F40" s="2" t="inlineStr"/>
      <c r="G40" s="2" t="inlineStr"/>
      <c r="H40" s="2" t="inlineStr"/>
      <c r="I40" s="2" t="inlineStr"/>
      <c r="J40" s="2" t="inlineStr"/>
      <c r="K40" s="2" t="inlineStr">
        <is>
          <t>snippet (third-party picker): monthly packages from ILS 69 before VAT</t>
        </is>
      </c>
      <c r="L40" s="2" t="inlineStr">
        <is>
          <t>snippet: ILS 99 (ILS 150 through the card companies), before VAT</t>
        </is>
      </c>
      <c r="M40" s="2" t="inlineStr"/>
      <c r="N40" s="2" t="inlineStr">
        <is>
          <t>Cardcom's own site shows no prices, only a 'get a quote' button. Per-transaction clearing fee negotiated.</t>
        </is>
      </c>
      <c r="O40" s="2" t="inlineStr">
        <is>
          <t>third_party</t>
        </is>
      </c>
      <c r="P40" s="2" t="inlineStr">
        <is>
          <t>https://www.cardcom.solutions/
https://danielmashkov.com/insights/israeli-payment-gateways-comparison</t>
        </is>
      </c>
    </row>
    <row r="41">
      <c r="A41" s="2" t="inlineStr">
        <is>
          <t>Mercado Pago</t>
        </is>
      </c>
      <c r="B41" s="2" t="inlineStr">
        <is>
          <t>MX</t>
        </is>
      </c>
      <c r="C41" s="2" t="inlineStr">
        <is>
          <t>MXN</t>
        </is>
      </c>
      <c r="D41" s="2" t="inlineStr">
        <is>
          <t>Link de pago / checkout: 3.49% instant, 3.19% in 14 days, 2.95% in 30 days, all + IVA</t>
        </is>
      </c>
      <c r="E41" s="2" t="inlineStr"/>
      <c r="F41" s="2" t="inlineStr"/>
      <c r="G41" s="2" t="inlineStr"/>
      <c r="H41" s="2" t="inlineStr"/>
      <c r="I41" s="2" t="inlineStr"/>
      <c r="J41" s="2" t="inlineStr">
        <is>
          <t>withdrawal to bank free (help-centre snippet)</t>
        </is>
      </c>
      <c r="K41" s="2" t="inlineStr">
        <is>
          <t>none</t>
        </is>
      </c>
      <c r="L41" s="2" t="inlineStr"/>
      <c r="M41" s="2" t="inlineStr">
        <is>
          <t>• {"name": "OXXO, deposits, transfers, cash", "rate": "3.19% + IVA + $4 + IVA (layout ambiguous)"}</t>
        </is>
      </c>
      <c r="N41" s="2" t="inlineStr">
        <is>
          <t>A fixed $4 + IVA appears in third-party summaries for cards but the official page FAQ says no fixed costs, so unconfirmed. Rates exclude IVA.</t>
        </is>
      </c>
      <c r="O41" s="2" t="inlineStr">
        <is>
          <t>page</t>
        </is>
      </c>
      <c r="P41" s="2" t="inlineStr">
        <is>
          <t>https://www.mercadopago.com.mx/herramientas-para-vender/check-out</t>
        </is>
      </c>
    </row>
    <row r="42">
      <c r="A42" s="2" t="inlineStr">
        <is>
          <t>Mercado Pago</t>
        </is>
      </c>
      <c r="B42" s="2" t="inlineStr">
        <is>
          <t>BR</t>
        </is>
      </c>
      <c r="C42" s="2" t="inlineStr">
        <is>
          <t>BRL</t>
        </is>
      </c>
      <c r="D42" s="2" t="inlineStr">
        <is>
          <t>Credit card at checkout/payment link: 4.98% instant, 4.49% in 14 days, 3.98% in 30 days</t>
        </is>
      </c>
      <c r="E42" s="2" t="inlineStr"/>
      <c r="F42" s="2" t="inlineStr"/>
      <c r="G42" s="2" t="inlineStr"/>
      <c r="H42" s="2" t="inlineStr"/>
      <c r="I42" s="2" t="inlineStr"/>
      <c r="J42" s="2" t="inlineStr"/>
      <c r="K42" s="2" t="inlineStr">
        <is>
          <t>none</t>
        </is>
      </c>
      <c r="L42" s="2" t="inlineStr"/>
      <c r="M42" s="2" t="inlineStr">
        <is>
          <t>• {"name": "Pix", "rate": "0.99% instant"}
• {"name": "Boleto", "rate": "R$3.49 fixed (within 3 days)"}
• {"name": "Mercado Pago balance", "rate": "4.99%"}
• {"name": "CAIXA virtual debit card", "rate": "3.99%"}</t>
        </is>
      </c>
      <c r="N42" s="2" t="inlineStr">
        <is>
          <t>Rates configurable in the app by receipt timing. Another BR provider quoted PIX 0.99%, credit 3.34% + R$0.40 on a R$149/month plan (nacao.digital snippet).</t>
        </is>
      </c>
      <c r="O42" s="2" t="inlineStr">
        <is>
          <t>page</t>
        </is>
      </c>
      <c r="P42" s="2" t="inlineStr">
        <is>
          <t>https://www.mercadopago.com.br/ferramentas-para-vender/check-out</t>
        </is>
      </c>
    </row>
    <row r="43">
      <c r="A43" s="2" t="inlineStr">
        <is>
          <t>Mercado Pago</t>
        </is>
      </c>
      <c r="B43" s="2" t="inlineStr">
        <is>
          <t>AR</t>
        </is>
      </c>
      <c r="C43" s="2" t="inlineStr">
        <is>
          <t>ARS</t>
        </is>
      </c>
      <c r="D43" s="2" t="inlineStr">
        <is>
          <t>Official checkout page text (garbled layout): 6.29% + IVA instant, 1.49% + IVA at 35 days, intermediate tiers 10 and 18 days (3.39% / 4.39% as extracted, order uncertain)</t>
        </is>
      </c>
      <c r="E43" s="2" t="inlineStr"/>
      <c r="F43" s="2" t="inlineStr"/>
      <c r="G43" s="2" t="inlineStr"/>
      <c r="H43" s="2" t="inlineStr"/>
      <c r="I43" s="2" t="inlineStr"/>
      <c r="J43" s="2" t="inlineStr"/>
      <c r="K43" s="2" t="inlineStr"/>
      <c r="L43" s="2" t="inlineStr"/>
      <c r="M43" s="2" t="inlineStr"/>
      <c r="N43" s="2" t="inlineStr">
        <is>
          <t>Conflicting recent figures: a March 2026 news piece says credit link/checkout instant 6.60%, 35 days 1.56% excl. IVA; another snippet cites 7.99% / 5.58% / 4.31% / 1.89%. Costs vary by province taxes. Do not rely on a single number.</t>
        </is>
      </c>
      <c r="O43" s="2" t="inlineStr">
        <is>
          <t>snippet</t>
        </is>
      </c>
      <c r="P43" s="2" t="inlineStr">
        <is>
          <t>https://www.mercadopago.com.ar/herramientas-para-vender/check-out
https://calcularsueldo.com.ar/finanzas/13982/mercado-pago-cambia-sus-cargos-por-venta-asi-quedan-los-nuevos-costos.html</t>
        </is>
      </c>
    </row>
    <row r="44">
      <c r="A44" s="2" t="inlineStr">
        <is>
          <t>Mercado Pago</t>
        </is>
      </c>
      <c r="B44" s="2" t="inlineStr">
        <is>
          <t>CL</t>
        </is>
      </c>
      <c r="C44" s="2" t="inlineStr">
        <is>
          <t>CLP</t>
        </is>
      </c>
      <c r="D44" s="2" t="inlineStr"/>
      <c r="E44" s="2" t="inlineStr"/>
      <c r="F44" s="2" t="inlineStr"/>
      <c r="G44" s="2" t="inlineStr"/>
      <c r="H44" s="2" t="inlineStr"/>
      <c r="I44" s="2" t="inlineStr"/>
      <c r="J44" s="2" t="inlineStr"/>
      <c r="K44" s="2" t="inlineStr"/>
      <c r="L44" s="2" t="inlineStr"/>
      <c r="M44" s="2" t="inlineStr"/>
      <c r="N44" s="2" t="inlineStr">
        <is>
          <t>Official page blocked (403); only an unverified forum snippet of 2.95% + IVA at 30 days. Not recorded as a rate.</t>
        </is>
      </c>
      <c r="O44" s="2" t="inlineStr">
        <is>
          <t>snippet</t>
        </is>
      </c>
      <c r="P44" s="2" t="inlineStr">
        <is>
          <t>https://www.mercadopago.cl/herramientas-para-vender/check-out</t>
        </is>
      </c>
    </row>
    <row r="45">
      <c r="A45" s="2" t="inlineStr">
        <is>
          <t>Mercado Pago</t>
        </is>
      </c>
      <c r="B45" s="2" t="inlineStr">
        <is>
          <t>CO</t>
        </is>
      </c>
      <c r="C45" s="2" t="inlineStr">
        <is>
          <t>COP</t>
        </is>
      </c>
      <c r="D45" s="2" t="inlineStr">
        <is>
          <t>3.29% + COP 800 instant, 2.99% + COP 800 in 7 days, 2.79% + COP 800 in 14 days, all + IVA</t>
        </is>
      </c>
      <c r="E45" s="2" t="inlineStr"/>
      <c r="F45" s="2" t="inlineStr"/>
      <c r="G45" s="2" t="inlineStr"/>
      <c r="H45" s="2" t="inlineStr"/>
      <c r="I45" s="2" t="inlineStr"/>
      <c r="J45" s="2" t="inlineStr"/>
      <c r="K45" s="2" t="inlineStr"/>
      <c r="L45" s="2" t="inlineStr"/>
      <c r="M45" s="2" t="inlineStr">
        <is>
          <t>• {"name": "PSE", "rate": "listed as accepted, no separate rate"}</t>
        </is>
      </c>
      <c r="N45" s="2" t="inlineStr">
        <is>
          <t>Page FAQ also says 'no fixed costs', which conflicts with the COP 800 component.</t>
        </is>
      </c>
      <c r="O45" s="2" t="inlineStr">
        <is>
          <t>page</t>
        </is>
      </c>
      <c r="P45" s="2" t="inlineStr">
        <is>
          <t>https://www.mercadopago.com.co/herramientas-para-vender/check-out</t>
        </is>
      </c>
    </row>
    <row r="46">
      <c r="A46" s="2" t="inlineStr">
        <is>
          <t>Razorpay</t>
        </is>
      </c>
      <c r="B46" s="2" t="inlineStr">
        <is>
          <t>IN</t>
        </is>
      </c>
      <c r="C46" s="2" t="inlineStr">
        <is>
          <t>INR</t>
        </is>
      </c>
      <c r="D46" s="2" t="inlineStr">
        <is>
          <t>2% platform fee on cards, UPI, RuPay, netbanking and wallets; corporate cards 2.15%</t>
        </is>
      </c>
      <c r="E46" s="2" t="inlineStr"/>
      <c r="F46" s="2" t="inlineStr"/>
      <c r="G46" s="2" t="inlineStr">
        <is>
          <t>up to 3%</t>
        </is>
      </c>
      <c r="H46" s="2" t="inlineStr"/>
      <c r="I46" s="2" t="inlineStr">
        <is>
          <t>not listed</t>
        </is>
      </c>
      <c r="J46" s="2" t="inlineStr">
        <is>
          <t>settlement T+1; instant settlement optional add-on with separate price</t>
        </is>
      </c>
      <c r="K46" s="2" t="inlineStr">
        <is>
          <t>none (AMC Rs 0)</t>
        </is>
      </c>
      <c r="L46" s="2" t="inlineStr">
        <is>
          <t>Rs 0</t>
        </is>
      </c>
      <c r="M46" s="2" t="inlineStr">
        <is>
          <t>• {"name": "UPI", "rate": "2% platform fee (page also says UPI is zero MDR; ambiguous)"}</t>
        </is>
      </c>
      <c r="N46" s="2" t="inlineStr">
        <is>
          <t>18% GST on the platform fee. Refund fee Rs 0. A search snippet mentions a promo of 0% for first 90 days.</t>
        </is>
      </c>
      <c r="O46" s="2" t="inlineStr">
        <is>
          <t>page</t>
        </is>
      </c>
      <c r="P46" s="2" t="inlineStr">
        <is>
          <t>https://razorpay.com/pricing/</t>
        </is>
      </c>
    </row>
    <row r="47">
      <c r="A47" s="2" t="inlineStr">
        <is>
          <t>GoPay</t>
        </is>
      </c>
      <c r="B47" s="2" t="inlineStr">
        <is>
          <t>CZ</t>
        </is>
      </c>
      <c r="C47" s="2" t="inlineStr">
        <is>
          <t>CZK</t>
        </is>
      </c>
      <c r="D47" s="2" t="inlineStr">
        <is>
          <t>0.95% + 0 CZK (cards, online transfers, QR) on Start/Growth</t>
        </is>
      </c>
      <c r="E47" s="2" t="inlineStr"/>
      <c r="F47" s="2" t="inlineStr"/>
      <c r="G47" s="2" t="inlineStr"/>
      <c r="H47" s="2" t="inlineStr"/>
      <c r="I47" s="2" t="inlineStr">
        <is>
          <t>chargeback 990 CZK</t>
        </is>
      </c>
      <c r="J47" s="2" t="inlineStr">
        <is>
          <t>10 CZK per payout to a bank account</t>
        </is>
      </c>
      <c r="K47" s="2" t="inlineStr">
        <is>
          <t>80 CZK (up to 50,000 CZK/month volume); free for first 12 months on Start</t>
        </is>
      </c>
      <c r="L47" s="2" t="inlineStr">
        <is>
          <t>free (setup and cancellation)</t>
        </is>
      </c>
      <c r="M47" s="2" t="inlineStr">
        <is>
          <t>• {"name": "Deferred payment", "rate": "0.89%"}
• {"name": "Pay in thirds", "rate": "1.99%"}
• {"name": "Refund", "rate": "5 CZK each"}
• {"name": "Card without 3DS (optional)", "rate": "0.30 CZK"}</t>
        </is>
      </c>
      <c r="N47" s="2" t="inlineStr">
        <is>
          <t>Start: card payments free for 12 months up to 50,000 CZK/month. Growth: all methods free for 3 months or until 500,000 CZK volume. Custom pricing above 1M CZK turnover.</t>
        </is>
      </c>
      <c r="O47" s="2" t="inlineStr">
        <is>
          <t>page</t>
        </is>
      </c>
      <c r="P47" s="2" t="inlineStr">
        <is>
          <t>https://www.gopay.com/cs/cena/</t>
        </is>
      </c>
    </row>
    <row r="48">
      <c r="A48" s="2" t="inlineStr">
        <is>
          <t>Comgate</t>
        </is>
      </c>
      <c r="B48" s="2" t="inlineStr">
        <is>
          <t>CZ</t>
        </is>
      </c>
      <c r="C48" s="2" t="inlineStr">
        <is>
          <t>CZK</t>
        </is>
      </c>
      <c r="D48" s="2" t="inlineStr">
        <is>
          <t>Easy tariff 0.98% + 0 CZK for all card types and bank transfers</t>
        </is>
      </c>
      <c r="E48" s="2" t="inlineStr"/>
      <c r="F48" s="2" t="inlineStr"/>
      <c r="G48" s="2" t="inlineStr">
        <is>
          <t>same 0.98% in Easy (Comgate may move to Profi tariff if over 30% non-EU consumer cards)</t>
        </is>
      </c>
      <c r="H48" s="2" t="inlineStr"/>
      <c r="I48" s="2" t="inlineStr">
        <is>
          <t>chargeback 990 CZK</t>
        </is>
      </c>
      <c r="J48" s="2" t="inlineStr">
        <is>
          <t>CZ and EU payouts free; payout to non-CZ bank 30 CZK; other currencies 100 CZK</t>
        </is>
      </c>
      <c r="K48" s="2" t="inlineStr">
        <is>
          <t>free or 100 CZK (free above 100,000 CZK monthly volume)</t>
        </is>
      </c>
      <c r="L48" s="2" t="inlineStr">
        <is>
          <t>gateway activation free</t>
        </is>
      </c>
      <c r="M48" s="2" t="inlineStr">
        <is>
          <t>• {"name": "BNPL / instalments CZ and SK", "rate": "0.98% + 0"}
• {"name": "Refund", "rate": "2 CZK"}
• {"name": "Booking.com/Expedia virtual cards", "rate": "2.4% + 0"}</t>
        </is>
      </c>
      <c r="N48" s="2" t="inlineStr">
        <is>
          <t>Price list v2024 (Easy). Profi tariff third-party quote: from 0.65-0.67% + 0.7-1 CZK for EU consumer cards.</t>
        </is>
      </c>
      <c r="O48" s="2" t="inlineStr">
        <is>
          <t>page</t>
        </is>
      </c>
      <c r="P48" s="2" t="inlineStr">
        <is>
          <t>https://www.comgate.eu/files/easy-pb-en-2024v2.pdf
https://www.fastcentrik.cz/blog/velke-srovnani-10-platebnich-bran</t>
        </is>
      </c>
    </row>
    <row r="49">
      <c r="A49" s="2" t="inlineStr">
        <is>
          <t>Przelewy24</t>
        </is>
      </c>
      <c r="B49" s="2" t="inlineStr">
        <is>
          <t>PL</t>
        </is>
      </c>
      <c r="C49" s="2" t="inlineStr">
        <is>
          <t>PLN</t>
        </is>
      </c>
      <c r="D49" s="2" t="inlineStr">
        <is>
          <t>1.29% + 0.30 zł for cards, BLIK, bank transfers and e-wallets (flat)</t>
        </is>
      </c>
      <c r="E49" s="2" t="inlineStr"/>
      <c r="F49" s="2" t="inlineStr"/>
      <c r="G49" s="2" t="inlineStr"/>
      <c r="H49" s="2" t="inlineStr">
        <is>
          <t>foreign-currency handling set individually</t>
        </is>
      </c>
      <c r="I49" s="2" t="inlineStr">
        <is>
          <t>not listed</t>
        </is>
      </c>
      <c r="J49" s="2" t="inlineStr">
        <is>
          <t>first 4 PLN payouts/month free, then 0.99 zł; foreign bank 40 zł; EUR SEPA €1.50</t>
        </is>
      </c>
      <c r="K49" s="2" t="inlineStr">
        <is>
          <t>0 zł</t>
        </is>
      </c>
      <c r="L49" s="2" t="inlineStr"/>
      <c r="M49" s="2" t="inlineStr">
        <is>
          <t>• {"name": "BLIK", "rate": "1.29% + 0.30 zł"}</t>
        </is>
      </c>
      <c r="N49" s="2" t="inlineStr">
        <is>
          <t>Refund handling free. VAT on fees not stated. Third-party notes a 1% + 0.39 zł intro offer for new Shoper clients for 90 days.</t>
        </is>
      </c>
      <c r="O49" s="2" t="inlineStr">
        <is>
          <t>page</t>
        </is>
      </c>
      <c r="P49" s="2" t="inlineStr">
        <is>
          <t>https://www.przelewy24.pl/oferta/tabela-prowizji-i-oplat</t>
        </is>
      </c>
    </row>
    <row r="50">
      <c r="A50" s="2" t="inlineStr">
        <is>
          <t>PayU</t>
        </is>
      </c>
      <c r="B50" s="2" t="inlineStr">
        <is>
          <t>PL</t>
        </is>
      </c>
      <c r="C50" s="2" t="inlineStr">
        <is>
          <t>PLN</t>
        </is>
      </c>
      <c r="D50" s="2" t="inlineStr">
        <is>
          <t>Cards 0.30 zł + 1.1% (promo) / 1.49% (second rate shown); BLIK 0.32 zł + 1.1% / 1.49%; bank transfers 0.30 zł + 1.1% / 1.49%</t>
        </is>
      </c>
      <c r="E50" s="2" t="inlineStr"/>
      <c r="F50" s="2" t="inlineStr"/>
      <c r="G50" s="2" t="inlineStr"/>
      <c r="H50" s="2" t="inlineStr"/>
      <c r="I50" s="2" t="inlineStr">
        <is>
          <t>not listed</t>
        </is>
      </c>
      <c r="J50" s="2" t="inlineStr">
        <is>
          <t>not listed</t>
        </is>
      </c>
      <c r="K50" s="2" t="inlineStr">
        <is>
          <t>0 zł (third-party review)</t>
        </is>
      </c>
      <c r="L50" s="2" t="inlineStr">
        <is>
          <t>registration 29 zł promo (was 199 zł)</t>
        </is>
      </c>
      <c r="M50" s="2" t="inlineStr">
        <is>
          <t>• {"name": "Instalments 5x0%, deferred (Twisto, PayPo)", "rate": "same 0.30 zł + 1.1% / 1.49%"}</t>
        </is>
      </c>
      <c r="N50" s="2" t="inlineStr">
        <is>
          <t>Page does not label which of 1.1% / 1.49% is promo vs standard; third-party review says 0% for 3 months or 100,000 zł, then 1.29% (older) and snippet says 1.10% in first 3 months then 1.49%. Individual offers above 800,000 zł turnover.</t>
        </is>
      </c>
      <c r="O50" s="2" t="inlineStr">
        <is>
          <t>page</t>
        </is>
      </c>
      <c r="P50" s="2" t="inlineStr">
        <is>
          <t>https://poland.payu.com/oferta-handlowa/
https://wojciechmatula.com/payu-recenzja/</t>
        </is>
      </c>
    </row>
    <row r="51">
      <c r="A51" s="2" t="inlineStr">
        <is>
          <t>monobank (plata by mono)</t>
        </is>
      </c>
      <c r="B51" s="2" t="inlineStr">
        <is>
          <t>UA</t>
        </is>
      </c>
      <c r="C51" s="2" t="inlineStr">
        <is>
          <t>UAH</t>
        </is>
      </c>
      <c r="D51" s="2" t="inlineStr">
        <is>
          <t>1.3% for Ukrainian cards</t>
        </is>
      </c>
      <c r="E51" s="2" t="inlineStr"/>
      <c r="F51" s="2" t="inlineStr"/>
      <c r="G51" s="2" t="inlineStr">
        <is>
          <t>2% for foreign cards (1.3% for POS)</t>
        </is>
      </c>
      <c r="H51" s="2" t="inlineStr"/>
      <c r="I51" s="2" t="inlineStr"/>
      <c r="J51" s="2" t="inlineStr">
        <is>
          <t>transfer from FOP account to individual card free; cash withdrawal 0.9%</t>
        </is>
      </c>
      <c r="K51" s="2" t="inlineStr">
        <is>
          <t>0 UAH</t>
        </is>
      </c>
      <c r="L51" s="2" t="inlineStr"/>
      <c r="M51" s="2" t="inlineStr"/>
      <c r="N51" s="2" t="inlineStr">
        <is>
          <t>Requires FOP or legal entity with a mono account. Settlement next day.</t>
        </is>
      </c>
      <c r="O51" s="2" t="inlineStr">
        <is>
          <t>page</t>
        </is>
      </c>
      <c r="P51" s="2" t="inlineStr">
        <is>
          <t>https://monobank.ua/en/knowledge-base/acquiring/index</t>
        </is>
      </c>
    </row>
    <row r="52">
      <c r="A52" s="2" t="inlineStr">
        <is>
          <t>LiqPay</t>
        </is>
      </c>
      <c r="B52" s="2" t="inlineStr">
        <is>
          <t>UA</t>
        </is>
      </c>
      <c r="C52" s="2" t="inlineStr">
        <is>
          <t>UAH</t>
        </is>
      </c>
      <c r="D52" s="2" t="inlineStr">
        <is>
          <t>Standard 1.3% for Ukrainian cards</t>
        </is>
      </c>
      <c r="E52" s="2" t="inlineStr"/>
      <c r="F52" s="2" t="inlineStr"/>
      <c r="G52" s="2" t="inlineStr">
        <is>
          <t>2% for foreign cards</t>
        </is>
      </c>
      <c r="H52" s="2" t="inlineStr"/>
      <c r="I52" s="2" t="inlineStr"/>
      <c r="J52" s="2" t="inlineStr"/>
      <c r="K52" s="2" t="inlineStr"/>
      <c r="L52" s="2" t="inlineStr"/>
      <c r="M52" s="2" t="inlineStr"/>
      <c r="N52" s="2" t="inlineStr">
        <is>
          <t>Individual tariff on application. Older third-party sources quote 1.5% / 2.75%.</t>
        </is>
      </c>
      <c r="O52" s="2" t="inlineStr">
        <is>
          <t>page</t>
        </is>
      </c>
      <c r="P52" s="2" t="inlineStr">
        <is>
          <t>https://www.liqpay.ua/tariffs</t>
        </is>
      </c>
    </row>
    <row r="53">
      <c r="A53" s="2" t="inlineStr">
        <is>
          <t>WayForPay</t>
        </is>
      </c>
      <c r="B53" s="2" t="inlineStr">
        <is>
          <t>UA</t>
        </is>
      </c>
      <c r="C53" s="2" t="inlineStr">
        <is>
          <t>UAH</t>
        </is>
      </c>
      <c r="D53" s="2" t="inlineStr">
        <is>
          <t>about 2% (single Instagram snippet, not verified)</t>
        </is>
      </c>
      <c r="E53" s="2" t="inlineStr"/>
      <c r="F53" s="2" t="inlineStr"/>
      <c r="G53" s="2" t="inlineStr"/>
      <c r="H53" s="2" t="inlineStr"/>
      <c r="I53" s="2" t="inlineStr"/>
      <c r="J53" s="2" t="inlineStr"/>
      <c r="K53" s="2" t="inlineStr"/>
      <c r="L53" s="2" t="inlineStr"/>
      <c r="M53" s="2" t="inlineStr"/>
      <c r="N53" s="2" t="inlineStr">
        <is>
          <t>Official tariff page (wayforpay.com) returned 403; no confirmed rates.</t>
        </is>
      </c>
      <c r="O53" s="2" t="inlineStr">
        <is>
          <t>snippet</t>
        </is>
      </c>
      <c r="P53" s="2" t="inlineStr">
        <is>
          <t>https://wayforpay.com/ru/tariffs</t>
        </is>
      </c>
    </row>
    <row r="54">
      <c r="A54" s="2" t="inlineStr">
        <is>
          <t>Kaspi Pay</t>
        </is>
      </c>
      <c r="B54" s="2" t="inlineStr">
        <is>
          <t>KZ</t>
        </is>
      </c>
      <c r="C54" s="2" t="inlineStr">
        <is>
          <t>KZT</t>
        </is>
      </c>
      <c r="D54" s="2" t="inlineStr">
        <is>
          <t>Kaspi POS: 0.95% for Kaspi Gold / Kaspi QR; other banks' cards via unified QR 1.30-1.35% by business type. Kaspi Bank internet acquiring: from 1% per transaction, individual rates</t>
        </is>
      </c>
      <c r="E54" s="2" t="inlineStr"/>
      <c r="F54" s="2" t="inlineStr"/>
      <c r="G54" s="2" t="inlineStr"/>
      <c r="H54" s="2" t="inlineStr"/>
      <c r="I54" s="2" t="inlineStr"/>
      <c r="J54" s="2" t="inlineStr"/>
      <c r="K54" s="2" t="inlineStr">
        <is>
          <t>none for e-commerce acquiring (finkaz.kz)</t>
        </is>
      </c>
      <c r="L54" s="2" t="inlineStr">
        <is>
          <t>integration free (finkaz.kz)</t>
        </is>
      </c>
      <c r="M54" s="2" t="inlineStr"/>
      <c r="N54" s="2" t="inlineStr">
        <is>
          <t>The Kaspi POS page covers in-store only; no official online merchant rate found. Third-party sources: 2-3% average on Kaspi.kz, 1-2.5% bank acquiring.</t>
        </is>
      </c>
      <c r="O54" s="2" t="inlineStr">
        <is>
          <t>third_party</t>
        </is>
      </c>
      <c r="P54" s="2" t="inlineStr">
        <is>
          <t>https://guide.kaspi.kz/partner/ru/pos/conditions/q3567
https://finkaz.kz/kaspi-bank/acquiring</t>
        </is>
      </c>
    </row>
    <row r="55">
      <c r="A55" s="2" t="inlineStr">
        <is>
          <t>TBC Bank e-commerce</t>
        </is>
      </c>
      <c r="B55" s="2" t="inlineStr">
        <is>
          <t>GE</t>
        </is>
      </c>
      <c r="C55" s="2" t="inlineStr">
        <is>
          <t>GEL</t>
        </is>
      </c>
      <c r="D55" s="2" t="inlineStr">
        <is>
          <t>1.6% for TBC cards; 2% for other Georgian banks' cards</t>
        </is>
      </c>
      <c r="E55" s="2" t="inlineStr"/>
      <c r="F55" s="2" t="inlineStr"/>
      <c r="G55" s="2" t="inlineStr">
        <is>
          <t>2.5% for foreign-bank cards</t>
        </is>
      </c>
      <c r="H55" s="2" t="inlineStr"/>
      <c r="I55" s="2" t="inlineStr"/>
      <c r="J55" s="2" t="inlineStr"/>
      <c r="K55" s="2" t="inlineStr">
        <is>
          <t>not published</t>
        </is>
      </c>
      <c r="L55" s="2" t="inlineStr">
        <is>
          <t>integration free</t>
        </is>
      </c>
      <c r="M55" s="2" t="inlineStr">
        <is>
          <t>• {"name": "Apple Pay / Google Pay", "rate": "no transaction fee"}</t>
        </is>
      </c>
      <c r="N55" s="2" t="inlineStr">
        <is>
          <t>Lower rates by annual turnover tier and MCC (column labels unclear). Insurance reserve may be required. Tariffs negotiable.</t>
        </is>
      </c>
      <c r="O55" s="2" t="inlineStr">
        <is>
          <t>page</t>
        </is>
      </c>
      <c r="P55" s="2" t="inlineStr">
        <is>
          <t>https://tbcbank.ge/en/card-payments/e-commerce-service-provider</t>
        </is>
      </c>
    </row>
    <row r="56">
      <c r="A56" s="2" t="inlineStr">
        <is>
          <t>Bank of Georgia (BOG) e-commerce</t>
        </is>
      </c>
      <c r="B56" s="2" t="inlineStr">
        <is>
          <t>GE</t>
        </is>
      </c>
      <c r="C56" s="2" t="inlineStr">
        <is>
          <t>GEL</t>
        </is>
      </c>
      <c r="D56" s="2" t="inlineStr"/>
      <c r="E56" s="2" t="inlineStr"/>
      <c r="F56" s="2" t="inlineStr"/>
      <c r="G56" s="2" t="inlineStr"/>
      <c r="H56" s="2" t="inlineStr"/>
      <c r="I56" s="2" t="inlineStr"/>
      <c r="J56" s="2" t="inlineStr"/>
      <c r="K56" s="2" t="inlineStr"/>
      <c r="L56" s="2" t="inlineStr"/>
      <c r="M56" s="2" t="inlineStr"/>
      <c r="N56" s="2" t="inlineStr">
        <is>
          <t>No published rates found; business site rendered only a headline.</t>
        </is>
      </c>
      <c r="O56" s="2" t="inlineStr">
        <is>
          <t>snippet</t>
        </is>
      </c>
      <c r="P56" s="2" t="inlineStr">
        <is>
          <t>https://businessmanager.bog.ge/en/</t>
        </is>
      </c>
    </row>
  </sheetData>
  <autoFilter ref="A1:P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2026-10-09T23:44:56Z</dcterms:created>
  <dcterms:modified xmlns:dcterms="http://purl.org/dc/terms/" xmlns:xsi="http://www.w3.org/2001/XMLSchema-instance" xsi:type="dcterms:W3CDTF">2026-10-09T23:44:56Z</dcterms:modified>
</cp:coreProperties>
</file>